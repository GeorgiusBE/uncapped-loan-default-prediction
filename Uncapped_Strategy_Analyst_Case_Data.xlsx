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London\Job Applications\Data Analyst\Uncapped\"/>
    </mc:Choice>
  </mc:AlternateContent>
  <bookViews>
    <workbookView xWindow="0" yWindow="0" windowWidth="0" windowHeight="0"/>
  </bookViews>
  <sheets>
    <sheet name="Dictionary" sheetId="1" r:id="rId1"/>
    <sheet name="Data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60" i="2" l="1"/>
  <c r="O960" i="2"/>
  <c r="P959" i="2"/>
  <c r="O959" i="2"/>
  <c r="P958" i="2"/>
  <c r="O958" i="2"/>
  <c r="P957" i="2"/>
  <c r="O957" i="2"/>
  <c r="P956" i="2"/>
  <c r="O956" i="2"/>
  <c r="P955" i="2"/>
  <c r="O955" i="2"/>
  <c r="P954" i="2"/>
  <c r="O954" i="2"/>
  <c r="P953" i="2"/>
  <c r="O953" i="2"/>
  <c r="P952" i="2"/>
  <c r="O952" i="2"/>
  <c r="P951" i="2"/>
  <c r="O951" i="2"/>
  <c r="P950" i="2"/>
  <c r="O950" i="2"/>
  <c r="P949" i="2"/>
  <c r="O949" i="2"/>
  <c r="P948" i="2"/>
  <c r="O948" i="2"/>
  <c r="P947" i="2"/>
  <c r="O947" i="2"/>
  <c r="P946" i="2"/>
  <c r="O946" i="2"/>
  <c r="P945" i="2"/>
  <c r="O945" i="2"/>
  <c r="P944" i="2"/>
  <c r="O944" i="2"/>
  <c r="P943" i="2"/>
  <c r="O943" i="2"/>
  <c r="P942" i="2"/>
  <c r="O942" i="2"/>
  <c r="P941" i="2"/>
  <c r="O941" i="2"/>
  <c r="P940" i="2"/>
  <c r="O940" i="2"/>
  <c r="P939" i="2"/>
  <c r="O939" i="2"/>
  <c r="P938" i="2"/>
  <c r="O938" i="2"/>
  <c r="P937" i="2"/>
  <c r="O937" i="2"/>
  <c r="P936" i="2"/>
  <c r="O936" i="2"/>
  <c r="P935" i="2"/>
  <c r="O935" i="2"/>
  <c r="P934" i="2"/>
  <c r="O934" i="2"/>
  <c r="P933" i="2"/>
  <c r="O933" i="2"/>
  <c r="P932" i="2"/>
  <c r="O932" i="2"/>
  <c r="P931" i="2"/>
  <c r="O931" i="2"/>
  <c r="P930" i="2"/>
  <c r="O930" i="2"/>
  <c r="P929" i="2"/>
  <c r="O929" i="2"/>
  <c r="P928" i="2"/>
  <c r="O928" i="2"/>
  <c r="P927" i="2"/>
  <c r="O927" i="2"/>
  <c r="P926" i="2"/>
  <c r="O926" i="2"/>
  <c r="P925" i="2"/>
  <c r="O925" i="2"/>
  <c r="P924" i="2"/>
  <c r="O924" i="2"/>
  <c r="P923" i="2"/>
  <c r="O923" i="2"/>
  <c r="P922" i="2"/>
  <c r="O922" i="2"/>
  <c r="P921" i="2"/>
  <c r="O921" i="2"/>
  <c r="P920" i="2"/>
  <c r="O920" i="2"/>
  <c r="P919" i="2"/>
  <c r="O919" i="2"/>
  <c r="P918" i="2"/>
  <c r="O918" i="2"/>
  <c r="P917" i="2"/>
  <c r="O917" i="2"/>
  <c r="P916" i="2"/>
  <c r="O916" i="2"/>
  <c r="P915" i="2"/>
  <c r="O915" i="2"/>
  <c r="P914" i="2"/>
  <c r="O914" i="2"/>
  <c r="P913" i="2"/>
  <c r="O913" i="2"/>
  <c r="P912" i="2"/>
  <c r="O912" i="2"/>
  <c r="P911" i="2"/>
  <c r="O911" i="2"/>
  <c r="P910" i="2"/>
  <c r="O910" i="2"/>
  <c r="P909" i="2"/>
  <c r="O909" i="2"/>
  <c r="P908" i="2"/>
  <c r="O908" i="2"/>
  <c r="P907" i="2"/>
  <c r="O907" i="2"/>
  <c r="P906" i="2"/>
  <c r="O906" i="2"/>
  <c r="P905" i="2"/>
  <c r="O905" i="2"/>
  <c r="P904" i="2"/>
  <c r="O904" i="2"/>
  <c r="P903" i="2"/>
  <c r="O903" i="2"/>
  <c r="P902" i="2"/>
  <c r="O902" i="2"/>
  <c r="P901" i="2"/>
  <c r="O901" i="2"/>
  <c r="P900" i="2"/>
  <c r="O900" i="2"/>
  <c r="P899" i="2"/>
  <c r="O899" i="2"/>
  <c r="P898" i="2"/>
  <c r="O898" i="2"/>
  <c r="P897" i="2"/>
  <c r="O897" i="2"/>
  <c r="P896" i="2"/>
  <c r="O896" i="2"/>
  <c r="P895" i="2"/>
  <c r="O895" i="2"/>
  <c r="P894" i="2"/>
  <c r="O894" i="2"/>
  <c r="P893" i="2"/>
  <c r="O893" i="2"/>
  <c r="P892" i="2"/>
  <c r="O892" i="2"/>
  <c r="P891" i="2"/>
  <c r="O891" i="2"/>
  <c r="P890" i="2"/>
  <c r="O890" i="2"/>
  <c r="P889" i="2"/>
  <c r="O889" i="2"/>
  <c r="P888" i="2"/>
  <c r="O888" i="2"/>
  <c r="P887" i="2"/>
  <c r="O887" i="2"/>
  <c r="P886" i="2"/>
  <c r="O886" i="2"/>
  <c r="P885" i="2"/>
  <c r="O885" i="2"/>
  <c r="P884" i="2"/>
  <c r="O884" i="2"/>
  <c r="P883" i="2"/>
  <c r="O883" i="2"/>
  <c r="P882" i="2"/>
  <c r="O882" i="2"/>
  <c r="P881" i="2"/>
  <c r="O881" i="2"/>
  <c r="P880" i="2"/>
  <c r="O880" i="2"/>
  <c r="P879" i="2"/>
  <c r="O879" i="2"/>
  <c r="P878" i="2"/>
  <c r="O878" i="2"/>
  <c r="P877" i="2"/>
  <c r="O877" i="2"/>
  <c r="P876" i="2"/>
  <c r="O876" i="2"/>
  <c r="P875" i="2"/>
  <c r="O875" i="2"/>
  <c r="P874" i="2"/>
  <c r="O874" i="2"/>
  <c r="P873" i="2"/>
  <c r="O873" i="2"/>
  <c r="P872" i="2"/>
  <c r="O872" i="2"/>
  <c r="P871" i="2"/>
  <c r="O871" i="2"/>
  <c r="P870" i="2"/>
  <c r="O870" i="2"/>
  <c r="P869" i="2"/>
  <c r="O869" i="2"/>
  <c r="P868" i="2"/>
  <c r="O868" i="2"/>
  <c r="P867" i="2"/>
  <c r="O867" i="2"/>
  <c r="P866" i="2"/>
  <c r="O866" i="2"/>
  <c r="P865" i="2"/>
  <c r="O865" i="2"/>
  <c r="P864" i="2"/>
  <c r="O864" i="2"/>
  <c r="P863" i="2"/>
  <c r="O863" i="2"/>
  <c r="P862" i="2"/>
  <c r="O862" i="2"/>
  <c r="P861" i="2"/>
  <c r="O861" i="2"/>
  <c r="P860" i="2"/>
  <c r="O860" i="2"/>
  <c r="P859" i="2"/>
  <c r="O859" i="2"/>
  <c r="P858" i="2"/>
  <c r="O858" i="2"/>
  <c r="P857" i="2"/>
  <c r="O857" i="2"/>
  <c r="P856" i="2"/>
  <c r="O856" i="2"/>
  <c r="P855" i="2"/>
  <c r="O855" i="2"/>
  <c r="P854" i="2"/>
  <c r="O854" i="2"/>
  <c r="P853" i="2"/>
  <c r="O853" i="2"/>
  <c r="P852" i="2"/>
  <c r="O852" i="2"/>
  <c r="P851" i="2"/>
  <c r="O851" i="2"/>
  <c r="P850" i="2"/>
  <c r="O850" i="2"/>
  <c r="P849" i="2"/>
  <c r="O849" i="2"/>
  <c r="P848" i="2"/>
  <c r="O848" i="2"/>
  <c r="P847" i="2"/>
  <c r="O847" i="2"/>
  <c r="P846" i="2"/>
  <c r="O846" i="2"/>
  <c r="P845" i="2"/>
  <c r="O845" i="2"/>
  <c r="P844" i="2"/>
  <c r="O844" i="2"/>
  <c r="P843" i="2"/>
  <c r="O843" i="2"/>
  <c r="P842" i="2"/>
  <c r="O842" i="2"/>
  <c r="P841" i="2"/>
  <c r="O841" i="2"/>
  <c r="P840" i="2"/>
  <c r="O840" i="2"/>
  <c r="P839" i="2"/>
  <c r="O839" i="2"/>
  <c r="P838" i="2"/>
  <c r="O838" i="2"/>
  <c r="P837" i="2"/>
  <c r="O837" i="2"/>
  <c r="P836" i="2"/>
  <c r="O836" i="2"/>
  <c r="P835" i="2"/>
  <c r="O835" i="2"/>
  <c r="P834" i="2"/>
  <c r="O834" i="2"/>
  <c r="P833" i="2"/>
  <c r="O833" i="2"/>
  <c r="P832" i="2"/>
  <c r="O832" i="2"/>
  <c r="P831" i="2"/>
  <c r="O831" i="2"/>
  <c r="P830" i="2"/>
  <c r="O830" i="2"/>
  <c r="P829" i="2"/>
  <c r="O829" i="2"/>
  <c r="P828" i="2"/>
  <c r="O828" i="2"/>
  <c r="P827" i="2"/>
  <c r="O827" i="2"/>
  <c r="P826" i="2"/>
  <c r="O826" i="2"/>
  <c r="P825" i="2"/>
  <c r="O825" i="2"/>
  <c r="P824" i="2"/>
  <c r="O824" i="2"/>
  <c r="P823" i="2"/>
  <c r="O823" i="2"/>
  <c r="P822" i="2"/>
  <c r="O822" i="2"/>
  <c r="P821" i="2"/>
  <c r="O821" i="2"/>
  <c r="P820" i="2"/>
  <c r="O820" i="2"/>
  <c r="P819" i="2"/>
  <c r="O819" i="2"/>
  <c r="P818" i="2"/>
  <c r="O818" i="2"/>
  <c r="P817" i="2"/>
  <c r="O817" i="2"/>
  <c r="P816" i="2"/>
  <c r="O816" i="2"/>
  <c r="P815" i="2"/>
  <c r="O815" i="2"/>
  <c r="P814" i="2"/>
  <c r="O814" i="2"/>
  <c r="P813" i="2"/>
  <c r="O813" i="2"/>
  <c r="P812" i="2"/>
  <c r="O812" i="2"/>
  <c r="P811" i="2"/>
  <c r="O811" i="2"/>
  <c r="P810" i="2"/>
  <c r="O810" i="2"/>
  <c r="P809" i="2"/>
  <c r="O809" i="2"/>
  <c r="P808" i="2"/>
  <c r="O808" i="2"/>
  <c r="P807" i="2"/>
  <c r="O807" i="2"/>
  <c r="P806" i="2"/>
  <c r="O806" i="2"/>
  <c r="P805" i="2"/>
  <c r="O805" i="2"/>
  <c r="P804" i="2"/>
  <c r="O804" i="2"/>
  <c r="P803" i="2"/>
  <c r="O803" i="2"/>
  <c r="P802" i="2"/>
  <c r="O802" i="2"/>
  <c r="P801" i="2"/>
  <c r="O801" i="2"/>
  <c r="P800" i="2"/>
  <c r="O800" i="2"/>
  <c r="P799" i="2"/>
  <c r="O799" i="2"/>
  <c r="P798" i="2"/>
  <c r="O798" i="2"/>
  <c r="P797" i="2"/>
  <c r="O797" i="2"/>
  <c r="P796" i="2"/>
  <c r="O796" i="2"/>
  <c r="P795" i="2"/>
  <c r="O795" i="2"/>
  <c r="P794" i="2"/>
  <c r="O794" i="2"/>
  <c r="P793" i="2"/>
  <c r="O793" i="2"/>
  <c r="P792" i="2"/>
  <c r="O792" i="2"/>
  <c r="P791" i="2"/>
  <c r="O791" i="2"/>
  <c r="P790" i="2"/>
  <c r="O790" i="2"/>
  <c r="P789" i="2"/>
  <c r="O789" i="2"/>
  <c r="P788" i="2"/>
  <c r="O788" i="2"/>
  <c r="P787" i="2"/>
  <c r="O787" i="2"/>
  <c r="P786" i="2"/>
  <c r="O786" i="2"/>
  <c r="P785" i="2"/>
  <c r="O785" i="2"/>
  <c r="P784" i="2"/>
  <c r="O784" i="2"/>
  <c r="P783" i="2"/>
  <c r="O783" i="2"/>
  <c r="P782" i="2"/>
  <c r="O782" i="2"/>
  <c r="P781" i="2"/>
  <c r="O781" i="2"/>
  <c r="P780" i="2"/>
  <c r="O780" i="2"/>
  <c r="P779" i="2"/>
  <c r="O779" i="2"/>
  <c r="P778" i="2"/>
  <c r="O778" i="2"/>
  <c r="P777" i="2"/>
  <c r="O777" i="2"/>
  <c r="P776" i="2"/>
  <c r="O776" i="2"/>
  <c r="P775" i="2"/>
  <c r="O775" i="2"/>
  <c r="P774" i="2"/>
  <c r="O774" i="2"/>
  <c r="P773" i="2"/>
  <c r="O773" i="2"/>
  <c r="P772" i="2"/>
  <c r="O772" i="2"/>
  <c r="P771" i="2"/>
  <c r="O771" i="2"/>
  <c r="P770" i="2"/>
  <c r="O770" i="2"/>
  <c r="P769" i="2"/>
  <c r="O769" i="2"/>
  <c r="P768" i="2"/>
  <c r="O768" i="2"/>
  <c r="P767" i="2"/>
  <c r="O767" i="2"/>
  <c r="P766" i="2"/>
  <c r="O766" i="2"/>
  <c r="P765" i="2"/>
  <c r="O765" i="2"/>
  <c r="P764" i="2"/>
  <c r="O764" i="2"/>
  <c r="P763" i="2"/>
  <c r="O763" i="2"/>
  <c r="P762" i="2"/>
  <c r="O762" i="2"/>
  <c r="P761" i="2"/>
  <c r="O761" i="2"/>
  <c r="P760" i="2"/>
  <c r="O760" i="2"/>
  <c r="P759" i="2"/>
  <c r="O759" i="2"/>
  <c r="P758" i="2"/>
  <c r="O758" i="2"/>
  <c r="P757" i="2"/>
  <c r="O757" i="2"/>
  <c r="P756" i="2"/>
  <c r="O756" i="2"/>
  <c r="P755" i="2"/>
  <c r="O755" i="2"/>
  <c r="P754" i="2"/>
  <c r="O754" i="2"/>
  <c r="P753" i="2"/>
  <c r="O753" i="2"/>
  <c r="P752" i="2"/>
  <c r="O752" i="2"/>
  <c r="P751" i="2"/>
  <c r="O751" i="2"/>
  <c r="P750" i="2"/>
  <c r="O750" i="2"/>
  <c r="P749" i="2"/>
  <c r="O749" i="2"/>
  <c r="P748" i="2"/>
  <c r="O748" i="2"/>
  <c r="P747" i="2"/>
  <c r="O747" i="2"/>
  <c r="P746" i="2"/>
  <c r="O746" i="2"/>
  <c r="P745" i="2"/>
  <c r="O745" i="2"/>
  <c r="P744" i="2"/>
  <c r="O744" i="2"/>
  <c r="P743" i="2"/>
  <c r="O743" i="2"/>
  <c r="P742" i="2"/>
  <c r="O742" i="2"/>
  <c r="P741" i="2"/>
  <c r="O741" i="2"/>
  <c r="P740" i="2"/>
  <c r="O740" i="2"/>
  <c r="P739" i="2"/>
  <c r="O739" i="2"/>
  <c r="P738" i="2"/>
  <c r="O738" i="2"/>
  <c r="P737" i="2"/>
  <c r="O737" i="2"/>
  <c r="P736" i="2"/>
  <c r="O736" i="2"/>
  <c r="P735" i="2"/>
  <c r="O735" i="2"/>
  <c r="P734" i="2"/>
  <c r="O734" i="2"/>
  <c r="P733" i="2"/>
  <c r="O733" i="2"/>
  <c r="P732" i="2"/>
  <c r="O732" i="2"/>
  <c r="P731" i="2"/>
  <c r="O731" i="2"/>
  <c r="P730" i="2"/>
  <c r="O730" i="2"/>
  <c r="P729" i="2"/>
  <c r="O729" i="2"/>
  <c r="P728" i="2"/>
  <c r="O728" i="2"/>
  <c r="P727" i="2"/>
  <c r="O727" i="2"/>
  <c r="P726" i="2"/>
  <c r="O726" i="2"/>
  <c r="P725" i="2"/>
  <c r="O725" i="2"/>
  <c r="P724" i="2"/>
  <c r="O724" i="2"/>
  <c r="P723" i="2"/>
  <c r="O723" i="2"/>
  <c r="P722" i="2"/>
  <c r="O722" i="2"/>
  <c r="P721" i="2"/>
  <c r="O721" i="2"/>
  <c r="P720" i="2"/>
  <c r="O720" i="2"/>
  <c r="P719" i="2"/>
  <c r="O719" i="2"/>
  <c r="P718" i="2"/>
  <c r="O718" i="2"/>
  <c r="P717" i="2"/>
  <c r="O717" i="2"/>
  <c r="P716" i="2"/>
  <c r="O716" i="2"/>
  <c r="P715" i="2"/>
  <c r="O715" i="2"/>
  <c r="P714" i="2"/>
  <c r="O714" i="2"/>
  <c r="P713" i="2"/>
  <c r="O713" i="2"/>
  <c r="P712" i="2"/>
  <c r="O712" i="2"/>
  <c r="P711" i="2"/>
  <c r="O711" i="2"/>
  <c r="P710" i="2"/>
  <c r="O710" i="2"/>
  <c r="P709" i="2"/>
  <c r="O709" i="2"/>
  <c r="P708" i="2"/>
  <c r="O708" i="2"/>
  <c r="P707" i="2"/>
  <c r="O707" i="2"/>
  <c r="P706" i="2"/>
  <c r="O706" i="2"/>
  <c r="P705" i="2"/>
  <c r="O705" i="2"/>
  <c r="P704" i="2"/>
  <c r="O704" i="2"/>
  <c r="P703" i="2"/>
  <c r="O703" i="2"/>
  <c r="P702" i="2"/>
  <c r="O702" i="2"/>
  <c r="P701" i="2"/>
  <c r="O701" i="2"/>
  <c r="P700" i="2"/>
  <c r="O700" i="2"/>
  <c r="P699" i="2"/>
  <c r="O699" i="2"/>
  <c r="P698" i="2"/>
  <c r="O698" i="2"/>
  <c r="P697" i="2"/>
  <c r="O697" i="2"/>
  <c r="P696" i="2"/>
  <c r="O696" i="2"/>
  <c r="P695" i="2"/>
  <c r="O695" i="2"/>
  <c r="P694" i="2"/>
  <c r="O694" i="2"/>
  <c r="P693" i="2"/>
  <c r="O693" i="2"/>
  <c r="P692" i="2"/>
  <c r="O692" i="2"/>
  <c r="P691" i="2"/>
  <c r="O691" i="2"/>
  <c r="P690" i="2"/>
  <c r="O690" i="2"/>
  <c r="P689" i="2"/>
  <c r="O689" i="2"/>
  <c r="P688" i="2"/>
  <c r="O688" i="2"/>
  <c r="P687" i="2"/>
  <c r="O687" i="2"/>
  <c r="P686" i="2"/>
  <c r="O686" i="2"/>
  <c r="P685" i="2"/>
  <c r="O685" i="2"/>
  <c r="P684" i="2"/>
  <c r="O684" i="2"/>
  <c r="P683" i="2"/>
  <c r="O683" i="2"/>
  <c r="P682" i="2"/>
  <c r="O682" i="2"/>
  <c r="P681" i="2"/>
  <c r="O681" i="2"/>
  <c r="P680" i="2"/>
  <c r="O680" i="2"/>
  <c r="P679" i="2"/>
  <c r="O679" i="2"/>
  <c r="P678" i="2"/>
  <c r="O678" i="2"/>
  <c r="P677" i="2"/>
  <c r="O677" i="2"/>
  <c r="P676" i="2"/>
  <c r="O676" i="2"/>
  <c r="P675" i="2"/>
  <c r="O675" i="2"/>
  <c r="P674" i="2"/>
  <c r="O674" i="2"/>
  <c r="P673" i="2"/>
  <c r="O673" i="2"/>
  <c r="P672" i="2"/>
  <c r="O672" i="2"/>
  <c r="P671" i="2"/>
  <c r="O671" i="2"/>
  <c r="P670" i="2"/>
  <c r="O670" i="2"/>
  <c r="P669" i="2"/>
  <c r="O669" i="2"/>
  <c r="P668" i="2"/>
  <c r="O668" i="2"/>
  <c r="P667" i="2"/>
  <c r="O667" i="2"/>
  <c r="P666" i="2"/>
  <c r="O666" i="2"/>
  <c r="P665" i="2"/>
  <c r="O665" i="2"/>
  <c r="P664" i="2"/>
  <c r="O664" i="2"/>
  <c r="P663" i="2"/>
  <c r="O663" i="2"/>
  <c r="P662" i="2"/>
  <c r="O662" i="2"/>
  <c r="P661" i="2"/>
  <c r="O661" i="2"/>
  <c r="P660" i="2"/>
  <c r="O660" i="2"/>
  <c r="P659" i="2"/>
  <c r="O659" i="2"/>
  <c r="P658" i="2"/>
  <c r="O658" i="2"/>
  <c r="P657" i="2"/>
  <c r="O657" i="2"/>
  <c r="P656" i="2"/>
  <c r="O656" i="2"/>
  <c r="P655" i="2"/>
  <c r="O655" i="2"/>
  <c r="P654" i="2"/>
  <c r="O654" i="2"/>
  <c r="P653" i="2"/>
  <c r="O653" i="2"/>
  <c r="P652" i="2"/>
  <c r="O652" i="2"/>
  <c r="P651" i="2"/>
  <c r="O651" i="2"/>
  <c r="P650" i="2"/>
  <c r="O650" i="2"/>
  <c r="P649" i="2"/>
  <c r="O649" i="2"/>
  <c r="P648" i="2"/>
  <c r="O648" i="2"/>
  <c r="P647" i="2"/>
  <c r="O647" i="2"/>
  <c r="P646" i="2"/>
  <c r="O646" i="2"/>
  <c r="P645" i="2"/>
  <c r="O645" i="2"/>
  <c r="P644" i="2"/>
  <c r="O644" i="2"/>
  <c r="P643" i="2"/>
  <c r="O643" i="2"/>
  <c r="P642" i="2"/>
  <c r="O642" i="2"/>
  <c r="P641" i="2"/>
  <c r="O641" i="2"/>
  <c r="P640" i="2"/>
  <c r="O640" i="2"/>
  <c r="P639" i="2"/>
  <c r="O639" i="2"/>
  <c r="P638" i="2"/>
  <c r="O638" i="2"/>
  <c r="P637" i="2"/>
  <c r="O637" i="2"/>
  <c r="P636" i="2"/>
  <c r="O636" i="2"/>
  <c r="P635" i="2"/>
  <c r="O635" i="2"/>
  <c r="P634" i="2"/>
  <c r="O634" i="2"/>
  <c r="P633" i="2"/>
  <c r="O633" i="2"/>
  <c r="P632" i="2"/>
  <c r="O632" i="2"/>
  <c r="P631" i="2"/>
  <c r="O631" i="2"/>
  <c r="P630" i="2"/>
  <c r="O630" i="2"/>
  <c r="P629" i="2"/>
  <c r="O629" i="2"/>
  <c r="P628" i="2"/>
  <c r="O628" i="2"/>
  <c r="P627" i="2"/>
  <c r="O627" i="2"/>
  <c r="P626" i="2"/>
  <c r="O626" i="2"/>
  <c r="P625" i="2"/>
  <c r="O625" i="2"/>
  <c r="P624" i="2"/>
  <c r="O624" i="2"/>
  <c r="P623" i="2"/>
  <c r="O623" i="2"/>
  <c r="P622" i="2"/>
  <c r="O622" i="2"/>
  <c r="P621" i="2"/>
  <c r="O621" i="2"/>
  <c r="P620" i="2"/>
  <c r="O620" i="2"/>
  <c r="P619" i="2"/>
  <c r="O619" i="2"/>
  <c r="P618" i="2"/>
  <c r="O618" i="2"/>
  <c r="P617" i="2"/>
  <c r="O617" i="2"/>
  <c r="P616" i="2"/>
  <c r="O616" i="2"/>
  <c r="P615" i="2"/>
  <c r="O615" i="2"/>
  <c r="P614" i="2"/>
  <c r="O614" i="2"/>
  <c r="P613" i="2"/>
  <c r="O613" i="2"/>
  <c r="P612" i="2"/>
  <c r="O612" i="2"/>
  <c r="P611" i="2"/>
  <c r="O611" i="2"/>
  <c r="P610" i="2"/>
  <c r="O610" i="2"/>
  <c r="P609" i="2"/>
  <c r="O609" i="2"/>
  <c r="P608" i="2"/>
  <c r="O608" i="2"/>
  <c r="P607" i="2"/>
  <c r="O607" i="2"/>
  <c r="P606" i="2"/>
  <c r="O606" i="2"/>
  <c r="P605" i="2"/>
  <c r="O605" i="2"/>
  <c r="P604" i="2"/>
  <c r="O604" i="2"/>
  <c r="P603" i="2"/>
  <c r="O603" i="2"/>
  <c r="P602" i="2"/>
  <c r="O602" i="2"/>
  <c r="P601" i="2"/>
  <c r="O601" i="2"/>
  <c r="P600" i="2"/>
  <c r="O600" i="2"/>
  <c r="P599" i="2"/>
  <c r="O599" i="2"/>
  <c r="P598" i="2"/>
  <c r="O598" i="2"/>
  <c r="P597" i="2"/>
  <c r="O597" i="2"/>
  <c r="P596" i="2"/>
  <c r="O596" i="2"/>
  <c r="P595" i="2"/>
  <c r="O595" i="2"/>
  <c r="P594" i="2"/>
  <c r="O594" i="2"/>
  <c r="P593" i="2"/>
  <c r="O593" i="2"/>
  <c r="P592" i="2"/>
  <c r="O592" i="2"/>
  <c r="P591" i="2"/>
  <c r="O591" i="2"/>
  <c r="P590" i="2"/>
  <c r="O590" i="2"/>
  <c r="P589" i="2"/>
  <c r="O589" i="2"/>
  <c r="P588" i="2"/>
  <c r="O588" i="2"/>
  <c r="P587" i="2"/>
  <c r="O587" i="2"/>
  <c r="P586" i="2"/>
  <c r="O586" i="2"/>
  <c r="P585" i="2"/>
  <c r="O585" i="2"/>
  <c r="P584" i="2"/>
  <c r="O584" i="2"/>
  <c r="P583" i="2"/>
  <c r="O583" i="2"/>
  <c r="P582" i="2"/>
  <c r="O582" i="2"/>
  <c r="P581" i="2"/>
  <c r="O581" i="2"/>
  <c r="P580" i="2"/>
  <c r="O580" i="2"/>
  <c r="P579" i="2"/>
  <c r="O579" i="2"/>
  <c r="P578" i="2"/>
  <c r="O578" i="2"/>
  <c r="P577" i="2"/>
  <c r="O577" i="2"/>
  <c r="P576" i="2"/>
  <c r="O576" i="2"/>
  <c r="P575" i="2"/>
  <c r="O575" i="2"/>
  <c r="P574" i="2"/>
  <c r="O574" i="2"/>
  <c r="P573" i="2"/>
  <c r="O573" i="2"/>
  <c r="P572" i="2"/>
  <c r="O572" i="2"/>
  <c r="P571" i="2"/>
  <c r="O571" i="2"/>
  <c r="P570" i="2"/>
  <c r="O570" i="2"/>
  <c r="P569" i="2"/>
  <c r="O569" i="2"/>
  <c r="P568" i="2"/>
  <c r="O568" i="2"/>
  <c r="P567" i="2"/>
  <c r="O567" i="2"/>
  <c r="P566" i="2"/>
  <c r="O566" i="2"/>
  <c r="P565" i="2"/>
  <c r="O565" i="2"/>
  <c r="P564" i="2"/>
  <c r="O564" i="2"/>
  <c r="P563" i="2"/>
  <c r="O563" i="2"/>
  <c r="P562" i="2"/>
  <c r="O562" i="2"/>
  <c r="P561" i="2"/>
  <c r="O561" i="2"/>
  <c r="P560" i="2"/>
  <c r="O560" i="2"/>
  <c r="P559" i="2"/>
  <c r="O559" i="2"/>
  <c r="P558" i="2"/>
  <c r="O558" i="2"/>
  <c r="P557" i="2"/>
  <c r="O557" i="2"/>
  <c r="P556" i="2"/>
  <c r="O556" i="2"/>
  <c r="P555" i="2"/>
  <c r="O555" i="2"/>
  <c r="P554" i="2"/>
  <c r="O554" i="2"/>
  <c r="P553" i="2"/>
  <c r="O553" i="2"/>
  <c r="P552" i="2"/>
  <c r="O552" i="2"/>
  <c r="P551" i="2"/>
  <c r="O551" i="2"/>
  <c r="P550" i="2"/>
  <c r="O550" i="2"/>
  <c r="P549" i="2"/>
  <c r="O549" i="2"/>
  <c r="P548" i="2"/>
  <c r="O548" i="2"/>
  <c r="P547" i="2"/>
  <c r="O547" i="2"/>
  <c r="P546" i="2"/>
  <c r="O546" i="2"/>
  <c r="P545" i="2"/>
  <c r="O545" i="2"/>
  <c r="P544" i="2"/>
  <c r="O544" i="2"/>
  <c r="P543" i="2"/>
  <c r="O543" i="2"/>
  <c r="P542" i="2"/>
  <c r="O542" i="2"/>
  <c r="P541" i="2"/>
  <c r="O541" i="2"/>
  <c r="P540" i="2"/>
  <c r="O540" i="2"/>
  <c r="P539" i="2"/>
  <c r="O539" i="2"/>
  <c r="P538" i="2"/>
  <c r="O538" i="2"/>
  <c r="P537" i="2"/>
  <c r="O537" i="2"/>
  <c r="P536" i="2"/>
  <c r="O536" i="2"/>
  <c r="P535" i="2"/>
  <c r="O535" i="2"/>
  <c r="P534" i="2"/>
  <c r="O534" i="2"/>
  <c r="P533" i="2"/>
  <c r="O533" i="2"/>
  <c r="P532" i="2"/>
  <c r="O532" i="2"/>
  <c r="P531" i="2"/>
  <c r="O531" i="2"/>
  <c r="P530" i="2"/>
  <c r="O530" i="2"/>
  <c r="P529" i="2"/>
  <c r="O529" i="2"/>
  <c r="P528" i="2"/>
  <c r="O528" i="2"/>
  <c r="P527" i="2"/>
  <c r="O527" i="2"/>
  <c r="P526" i="2"/>
  <c r="O526" i="2"/>
  <c r="P525" i="2"/>
  <c r="O525" i="2"/>
  <c r="P524" i="2"/>
  <c r="O524" i="2"/>
  <c r="P523" i="2"/>
  <c r="O523" i="2"/>
  <c r="P522" i="2"/>
  <c r="O522" i="2"/>
  <c r="P521" i="2"/>
  <c r="O521" i="2"/>
  <c r="P520" i="2"/>
  <c r="O520" i="2"/>
  <c r="P519" i="2"/>
  <c r="O519" i="2"/>
  <c r="P518" i="2"/>
  <c r="O518" i="2"/>
  <c r="P517" i="2"/>
  <c r="O517" i="2"/>
  <c r="P516" i="2"/>
  <c r="O516" i="2"/>
  <c r="P515" i="2"/>
  <c r="O515" i="2"/>
  <c r="P514" i="2"/>
  <c r="O514" i="2"/>
  <c r="P513" i="2"/>
  <c r="O513" i="2"/>
  <c r="P512" i="2"/>
  <c r="O512" i="2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P467" i="2"/>
  <c r="O467" i="2"/>
  <c r="P466" i="2"/>
  <c r="O466" i="2"/>
  <c r="P465" i="2"/>
  <c r="O465" i="2"/>
  <c r="P464" i="2"/>
  <c r="O464" i="2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P403" i="2"/>
  <c r="O403" i="2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P395" i="2"/>
  <c r="O395" i="2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P380" i="2"/>
  <c r="O380" i="2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P370" i="2"/>
  <c r="O370" i="2"/>
  <c r="P369" i="2"/>
  <c r="O369" i="2"/>
  <c r="P368" i="2"/>
  <c r="O368" i="2"/>
  <c r="P367" i="2"/>
  <c r="O367" i="2"/>
  <c r="P366" i="2"/>
  <c r="O366" i="2"/>
  <c r="P365" i="2"/>
  <c r="O365" i="2"/>
  <c r="P364" i="2"/>
  <c r="O364" i="2"/>
  <c r="P363" i="2"/>
  <c r="O363" i="2"/>
  <c r="P362" i="2"/>
  <c r="O362" i="2"/>
  <c r="P361" i="2"/>
  <c r="O361" i="2"/>
  <c r="P360" i="2"/>
  <c r="O360" i="2"/>
  <c r="P359" i="2"/>
  <c r="O359" i="2"/>
  <c r="P358" i="2"/>
  <c r="O358" i="2"/>
  <c r="P357" i="2"/>
  <c r="O357" i="2"/>
  <c r="P356" i="2"/>
  <c r="O356" i="2"/>
  <c r="P355" i="2"/>
  <c r="O355" i="2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P346" i="2"/>
  <c r="O346" i="2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P322" i="2"/>
  <c r="O322" i="2"/>
  <c r="P321" i="2"/>
  <c r="O321" i="2"/>
  <c r="P320" i="2"/>
  <c r="O320" i="2"/>
  <c r="P319" i="2"/>
  <c r="O319" i="2"/>
  <c r="P318" i="2"/>
  <c r="O318" i="2"/>
  <c r="P317" i="2"/>
  <c r="O317" i="2"/>
  <c r="P316" i="2"/>
  <c r="O316" i="2"/>
  <c r="P315" i="2"/>
  <c r="O315" i="2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P252" i="2"/>
  <c r="O252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P2" i="2"/>
  <c r="O2" i="2"/>
</calcChain>
</file>

<file path=xl/sharedStrings.xml><?xml version="1.0" encoding="utf-8"?>
<sst xmlns="http://schemas.openxmlformats.org/spreadsheetml/2006/main" count="1968" uniqueCount="550">
  <si>
    <t>Variable</t>
  </si>
  <si>
    <t>Description</t>
  </si>
  <si>
    <t>Organisation</t>
  </si>
  <si>
    <t>Name of Client - Each Client can only have one loan</t>
  </si>
  <si>
    <t>Application Month</t>
  </si>
  <si>
    <t>Month of Application</t>
  </si>
  <si>
    <t>Business Type</t>
  </si>
  <si>
    <t>Whether the business was an E-commerce, SaaS (Software as a Service), or "Others"</t>
  </si>
  <si>
    <t>Age of Business</t>
  </si>
  <si>
    <t>Number of months in business at the point of application - Older businesses are expected to be of better credit quality</t>
  </si>
  <si>
    <t>Cash Runway</t>
  </si>
  <si>
    <t>At the point of underwriing, a detailed cashflow model is built for each loan application - one of the outputs of the model is "Cash Runway" - the number of months the business can survive without the injection of additional capital. This is calculated based on bank balance and monthly cash burn: Cash Runway = Cash at Bank / Monthly Cash Burn Rate.
Customers with longer runway are expected to be of better credit quality</t>
  </si>
  <si>
    <t>Monthly Revenue</t>
  </si>
  <si>
    <t>Trailing monthly Revenue at the point of application based on most recent 3 months of data</t>
  </si>
  <si>
    <t>Revenue Trend</t>
  </si>
  <si>
    <t>1 = Increasing, 0 = broadly flat, -1 = Decreasing, based on the most recent 3 months of data</t>
  </si>
  <si>
    <t>Loan Request</t>
  </si>
  <si>
    <t>Amount Requested - assumption is that, if accepted, customers are given the full amount requested</t>
  </si>
  <si>
    <t>Whether the loan request was accepted or not</t>
  </si>
  <si>
    <t>Loan Issued</t>
  </si>
  <si>
    <t>Loan amount issued to accepted customers (where Accept = 1)</t>
  </si>
  <si>
    <t>Fee Charged</t>
  </si>
  <si>
    <t>Fee charged - in this business model, interest is not charged. Instead a fee is charged upfront. This fee is determined by the expected credit risk. There are no other sources of income.</t>
  </si>
  <si>
    <t>Term</t>
  </si>
  <si>
    <t>Number of months in which the loan has to be repaid</t>
  </si>
  <si>
    <t>Default</t>
  </si>
  <si>
    <t xml:space="preserve">Whether the loan defaulted or not during the life of the loan. </t>
  </si>
  <si>
    <t>Loss (Default)</t>
  </si>
  <si>
    <t>If the loan defaulted, this captures the total loss experienced. For example, if a customer got a £100 loan and a £10 fee, and if the loss amount was £30, we should assume this to be the net loss, i.e., you can assume that the customer repaid £80.</t>
  </si>
  <si>
    <t>Cost of Fund (lifetime)</t>
  </si>
  <si>
    <t>Computed as 2.5% of loan issued</t>
  </si>
  <si>
    <t>Cost of Operations (Lifetime)</t>
  </si>
  <si>
    <t>Computed as 2.0% of loan issued</t>
  </si>
  <si>
    <t>Biz Age</t>
  </si>
  <si>
    <t>Loan Requested</t>
  </si>
  <si>
    <t>TheKnickknackShack</t>
  </si>
  <si>
    <t>ecommerce</t>
  </si>
  <si>
    <t>SecuriToday</t>
  </si>
  <si>
    <t>Alfatek</t>
  </si>
  <si>
    <t>other</t>
  </si>
  <si>
    <t>VelvetMedia</t>
  </si>
  <si>
    <t>ExcitingPrivate</t>
  </si>
  <si>
    <t>YouthfulCapital</t>
  </si>
  <si>
    <t>VertigoMedia</t>
  </si>
  <si>
    <t>ExelaMovers</t>
  </si>
  <si>
    <t>Affirma</t>
  </si>
  <si>
    <t>BaseMountainConstruction</t>
  </si>
  <si>
    <t>Day&amp;Temper</t>
  </si>
  <si>
    <t>Percepta</t>
  </si>
  <si>
    <t>SafetrustInc</t>
  </si>
  <si>
    <t>DataDrivenDecisioning</t>
  </si>
  <si>
    <t>ResoluteLtd</t>
  </si>
  <si>
    <t>FaithfulEquity</t>
  </si>
  <si>
    <t>GateKeeperSecurity</t>
  </si>
  <si>
    <t>Dionysus</t>
  </si>
  <si>
    <t>ElemenOPillows</t>
  </si>
  <si>
    <t>MightyMule</t>
  </si>
  <si>
    <t>Crowdstage</t>
  </si>
  <si>
    <t>Glympse</t>
  </si>
  <si>
    <t>EverglowMedia</t>
  </si>
  <si>
    <t>BaskEnterprises</t>
  </si>
  <si>
    <t>Chick&amp;Marrow</t>
  </si>
  <si>
    <t>BallparkConstruction</t>
  </si>
  <si>
    <t>saas</t>
  </si>
  <si>
    <t>GeckoDynamics</t>
  </si>
  <si>
    <t>EffortlessCorporation</t>
  </si>
  <si>
    <t>IntoExcellence</t>
  </si>
  <si>
    <t>Swingtide</t>
  </si>
  <si>
    <t>NestLabs</t>
  </si>
  <si>
    <t>ZanySolutions</t>
  </si>
  <si>
    <t>EncoreElectric,Inc</t>
  </si>
  <si>
    <t>PurposefulConsulting</t>
  </si>
  <si>
    <t>UnbiasedPartners</t>
  </si>
  <si>
    <t>PeacefulInvestors</t>
  </si>
  <si>
    <t>FirstVictory</t>
  </si>
  <si>
    <t>EngagingPrivate</t>
  </si>
  <si>
    <t>BSquareBuilders</t>
  </si>
  <si>
    <t>WabiSabi</t>
  </si>
  <si>
    <t>PlainStrategies</t>
  </si>
  <si>
    <t>LaserShield</t>
  </si>
  <si>
    <t>MetropolitanCompany</t>
  </si>
  <si>
    <t>BureauofSmallProjects</t>
  </si>
  <si>
    <t>TraditionalAdvisers</t>
  </si>
  <si>
    <t>SpecializedSolutions</t>
  </si>
  <si>
    <t>VigilEASE,Inc</t>
  </si>
  <si>
    <t>Saudade</t>
  </si>
  <si>
    <t>Omnilert</t>
  </si>
  <si>
    <t>TopCatch</t>
  </si>
  <si>
    <t>UnderstandingAssociates</t>
  </si>
  <si>
    <t>AstuteConsulting</t>
  </si>
  <si>
    <t>TraditionalLP</t>
  </si>
  <si>
    <t>Plan4Demand</t>
  </si>
  <si>
    <t>Nutrition</t>
  </si>
  <si>
    <t>BlackHawkProducts</t>
  </si>
  <si>
    <t>Let’sThinkWireless</t>
  </si>
  <si>
    <t>Personetics</t>
  </si>
  <si>
    <t>VisionaryConsulting</t>
  </si>
  <si>
    <t>EyeSpySecurity</t>
  </si>
  <si>
    <t>FilltheGap</t>
  </si>
  <si>
    <t>AllianceSolutionsGroup</t>
  </si>
  <si>
    <t>BondSnack</t>
  </si>
  <si>
    <t>Delegata</t>
  </si>
  <si>
    <t>Branding</t>
  </si>
  <si>
    <t>Sapient</t>
  </si>
  <si>
    <t>BigHonchoMedia</t>
  </si>
  <si>
    <t>BakerRoofingCompany</t>
  </si>
  <si>
    <t>VisionSwipe</t>
  </si>
  <si>
    <t>ForkMedia</t>
  </si>
  <si>
    <t>BaseContractingCompany</t>
  </si>
  <si>
    <t>IndependentSolutions</t>
  </si>
  <si>
    <t>BioSciMation</t>
  </si>
  <si>
    <t>Aceable,Inc</t>
  </si>
  <si>
    <t>FriendlyCapital</t>
  </si>
  <si>
    <t>FearlessMedia</t>
  </si>
  <si>
    <t>CovetaTrade</t>
  </si>
  <si>
    <t>HelloNerds</t>
  </si>
  <si>
    <t>Quisitive</t>
  </si>
  <si>
    <t>SunSide</t>
  </si>
  <si>
    <t>FierceFund</t>
  </si>
  <si>
    <t>DecoratingDenInteriors</t>
  </si>
  <si>
    <t>Kilig</t>
  </si>
  <si>
    <t>SpiritualBeings</t>
  </si>
  <si>
    <t>FierceAccessDistributorsLLC</t>
  </si>
  <si>
    <t>PrimeHouse</t>
  </si>
  <si>
    <t>UnassumingConsulting</t>
  </si>
  <si>
    <t>Groupon</t>
  </si>
  <si>
    <t>SexyPlanning</t>
  </si>
  <si>
    <t>HandyHelp</t>
  </si>
  <si>
    <t>BeefyBuilding</t>
  </si>
  <si>
    <t>CreativeThe</t>
  </si>
  <si>
    <t>FlashFresh</t>
  </si>
  <si>
    <t>HankyHive</t>
  </si>
  <si>
    <t>TheSource</t>
  </si>
  <si>
    <t>Fortified</t>
  </si>
  <si>
    <t>BestRoofing</t>
  </si>
  <si>
    <t>FreshSqueezedIdeas</t>
  </si>
  <si>
    <t>ClickyMedia</t>
  </si>
  <si>
    <t>PlantEpec</t>
  </si>
  <si>
    <t>JVP’sAuto</t>
  </si>
  <si>
    <t>Ideas2IT</t>
  </si>
  <si>
    <t>Freedwells</t>
  </si>
  <si>
    <t>IdeaGrove</t>
  </si>
  <si>
    <t>Adventures</t>
  </si>
  <si>
    <t>MatrixSystems</t>
  </si>
  <si>
    <t>IntotheUnknown</t>
  </si>
  <si>
    <t>IntellicamSystems</t>
  </si>
  <si>
    <t>BSquaredConstruction</t>
  </si>
  <si>
    <t>ChicaChila</t>
  </si>
  <si>
    <t>GoodestShare</t>
  </si>
  <si>
    <t>EtCeteraSystems</t>
  </si>
  <si>
    <t>ExacqTechnologies</t>
  </si>
  <si>
    <t>BellinghamBayBuilders</t>
  </si>
  <si>
    <t>ThrillSeek</t>
  </si>
  <si>
    <t>FlexibleWealth</t>
  </si>
  <si>
    <t>WebpreneurMedia</t>
  </si>
  <si>
    <t>OddsAndEnds</t>
  </si>
  <si>
    <t>Intellivision</t>
  </si>
  <si>
    <t>OddAndEnds</t>
  </si>
  <si>
    <t>SalePush</t>
  </si>
  <si>
    <t>ActivIdentity</t>
  </si>
  <si>
    <t>Videolarm</t>
  </si>
  <si>
    <t>GenesisConsulting</t>
  </si>
  <si>
    <t>DatawatchSystems</t>
  </si>
  <si>
    <t>Brandopedia</t>
  </si>
  <si>
    <t>CuteyCogs</t>
  </si>
  <si>
    <t>AlphaArseanlLLC</t>
  </si>
  <si>
    <t>TactfulInvestments</t>
  </si>
  <si>
    <t>Superscapes</t>
  </si>
  <si>
    <t>KnickKnacks</t>
  </si>
  <si>
    <t>High-TouchCounsel</t>
  </si>
  <si>
    <t>EdgeStrategies</t>
  </si>
  <si>
    <t>Axle</t>
  </si>
  <si>
    <t>Intellicheck</t>
  </si>
  <si>
    <t>ObedientInvestors</t>
  </si>
  <si>
    <t>ExperienceImpact</t>
  </si>
  <si>
    <t>CompliantThe</t>
  </si>
  <si>
    <t>MetConnect</t>
  </si>
  <si>
    <t>Morarity</t>
  </si>
  <si>
    <t>TreasureTrove</t>
  </si>
  <si>
    <t>Innosight</t>
  </si>
  <si>
    <t>NodeTech</t>
  </si>
  <si>
    <t>Elevation</t>
  </si>
  <si>
    <t>Wise&amp;</t>
  </si>
  <si>
    <t>BetterBuilders</t>
  </si>
  <si>
    <t>GameEight</t>
  </si>
  <si>
    <t>EnableIP</t>
  </si>
  <si>
    <t>BaileyGeneralsContractors</t>
  </si>
  <si>
    <t>KaboomFireworks</t>
  </si>
  <si>
    <t>3rdEyeSurveillance</t>
  </si>
  <si>
    <t>SilentSentinel</t>
  </si>
  <si>
    <t>Composey</t>
  </si>
  <si>
    <t>Perficient</t>
  </si>
  <si>
    <t>BestHomeSolutions</t>
  </si>
  <si>
    <t>BeastlyBuilders</t>
  </si>
  <si>
    <t>SweetStreet</t>
  </si>
  <si>
    <t>BohoAssociates</t>
  </si>
  <si>
    <t>Optimity</t>
  </si>
  <si>
    <t>ResoluteAdvisor</t>
  </si>
  <si>
    <t>LightAsset</t>
  </si>
  <si>
    <t>StarSquare</t>
  </si>
  <si>
    <t>OrionNetworks</t>
  </si>
  <si>
    <t>IntrepidTravel</t>
  </si>
  <si>
    <t>Navigate</t>
  </si>
  <si>
    <t>BeetBoxCafe</t>
  </si>
  <si>
    <t>BluesteakMedia</t>
  </si>
  <si>
    <t>DaintyConsulting</t>
  </si>
  <si>
    <t>OpenAssociates</t>
  </si>
  <si>
    <t>TinyMilkshakeMedia</t>
  </si>
  <si>
    <t>EagleEyeSystems</t>
  </si>
  <si>
    <t>Petals&amp;Bubbles</t>
  </si>
  <si>
    <t>BeltwayBuilders</t>
  </si>
  <si>
    <t>ChicBoutiqueConsignments</t>
  </si>
  <si>
    <t>KeeperSecurity,inc</t>
  </si>
  <si>
    <t>ScrappyPartners</t>
  </si>
  <si>
    <t>WillingCompany</t>
  </si>
  <si>
    <t>IndustrialServices</t>
  </si>
  <si>
    <t>HawkeyeSecurity</t>
  </si>
  <si>
    <t>Rentoor</t>
  </si>
  <si>
    <t>MySkew</t>
  </si>
  <si>
    <t>Cognizant</t>
  </si>
  <si>
    <t>TheHomeDome</t>
  </si>
  <si>
    <t>Medicine</t>
  </si>
  <si>
    <t>SkillfulStreet</t>
  </si>
  <si>
    <t>SuretySecurity</t>
  </si>
  <si>
    <t>Self-likingFund</t>
  </si>
  <si>
    <t>Spinfluence</t>
  </si>
  <si>
    <t>Collabera</t>
  </si>
  <si>
    <t>PuzzleHuddle</t>
  </si>
  <si>
    <t>ReliaQuest</t>
  </si>
  <si>
    <t>MajesticConsultants</t>
  </si>
  <si>
    <t>ScrappyAssociates</t>
  </si>
  <si>
    <t>Jumpsync</t>
  </si>
  <si>
    <t>BeaconHillsBuilders</t>
  </si>
  <si>
    <t>FinalLevel</t>
  </si>
  <si>
    <t>Color9Creative</t>
  </si>
  <si>
    <t>FluffBags</t>
  </si>
  <si>
    <t>YouthfulMoney</t>
  </si>
  <si>
    <t>ProactiveWorldwide</t>
  </si>
  <si>
    <t>EmptyParticles</t>
  </si>
  <si>
    <t>Answerport</t>
  </si>
  <si>
    <t>Shipplier</t>
  </si>
  <si>
    <t>HelloAce</t>
  </si>
  <si>
    <t>UrbanCraft</t>
  </si>
  <si>
    <t>Dwellsmith</t>
  </si>
  <si>
    <t>23RdCentury</t>
  </si>
  <si>
    <t>FIDOAlliance</t>
  </si>
  <si>
    <t>TheWonderCollective</t>
  </si>
  <si>
    <t>EducationalMoney</t>
  </si>
  <si>
    <t>TheTinyTassel</t>
  </si>
  <si>
    <t>ConvergedCommz</t>
  </si>
  <si>
    <t>RelievedCorp</t>
  </si>
  <si>
    <t>DiplomaticSolutions</t>
  </si>
  <si>
    <t>DreamScenes</t>
  </si>
  <si>
    <t>Deductly</t>
  </si>
  <si>
    <t>BullGuard</t>
  </si>
  <si>
    <t>HorizonsforHomelessChildren</t>
  </si>
  <si>
    <t>NamedDrop</t>
  </si>
  <si>
    <t>EquitablePartners</t>
  </si>
  <si>
    <t>StarrardS</t>
  </si>
  <si>
    <t>LimnerStudio</t>
  </si>
  <si>
    <t>LiveWatch</t>
  </si>
  <si>
    <t>SpecificAdvisory</t>
  </si>
  <si>
    <t>Absent-Minded</t>
  </si>
  <si>
    <t>BeSeenSolutions</t>
  </si>
  <si>
    <t>StableLtd</t>
  </si>
  <si>
    <t>Mazuram</t>
  </si>
  <si>
    <t>ObviousAgency</t>
  </si>
  <si>
    <t>BeaverBuilders</t>
  </si>
  <si>
    <t>BlessedRest</t>
  </si>
  <si>
    <t>AimsCommunityCollege</t>
  </si>
  <si>
    <t>Airbyte</t>
  </si>
  <si>
    <t>SavantSystemsLLC</t>
  </si>
  <si>
    <t>Elegata</t>
  </si>
  <si>
    <t>Ibotta,Inc</t>
  </si>
  <si>
    <t>EntexStudios</t>
  </si>
  <si>
    <t>Sparkline</t>
  </si>
  <si>
    <t>MatureAdvisor</t>
  </si>
  <si>
    <t>MintBaskets</t>
  </si>
  <si>
    <t>GorgeousLtd</t>
  </si>
  <si>
    <t>OptimEngagement</t>
  </si>
  <si>
    <t>Bang-UpBuildersCo</t>
  </si>
  <si>
    <t>HonestAdvisors</t>
  </si>
  <si>
    <t>SageConsulting</t>
  </si>
  <si>
    <t>MissedOpps</t>
  </si>
  <si>
    <t>XMarksTheSpot</t>
  </si>
  <si>
    <t>HelpfulLP</t>
  </si>
  <si>
    <t>ChampionAlarmSystems,Ltd</t>
  </si>
  <si>
    <t>ThinkSys</t>
  </si>
  <si>
    <t>RandomRefresh</t>
  </si>
  <si>
    <t>Gaufrabers</t>
  </si>
  <si>
    <t>CastleDefense360</t>
  </si>
  <si>
    <t>Archimedes</t>
  </si>
  <si>
    <t>CupoCapital</t>
  </si>
  <si>
    <t>CloseCrowds</t>
  </si>
  <si>
    <t>BernessoCo</t>
  </si>
  <si>
    <t>ExpensiveAsset</t>
  </si>
  <si>
    <t>EastElm</t>
  </si>
  <si>
    <t>QuietFinancial</t>
  </si>
  <si>
    <t>Excelero</t>
  </si>
  <si>
    <t>ClicketyClack</t>
  </si>
  <si>
    <t>NerdCrossing</t>
  </si>
  <si>
    <t>SumptuousPartners</t>
  </si>
  <si>
    <t>FirstDefense</t>
  </si>
  <si>
    <t>InAPinch</t>
  </si>
  <si>
    <t>SporadicSystems</t>
  </si>
  <si>
    <t>Calm&amp;Lovely</t>
  </si>
  <si>
    <t>PeakPerformance</t>
  </si>
  <si>
    <t>Cogepharm</t>
  </si>
  <si>
    <t>FlexibleSolutions</t>
  </si>
  <si>
    <t>SiteDept</t>
  </si>
  <si>
    <t>Interleuk</t>
  </si>
  <si>
    <t>Gill&amp;Sohmer</t>
  </si>
  <si>
    <t>Tyche</t>
  </si>
  <si>
    <t>DeepSentinel</t>
  </si>
  <si>
    <t>RandomRow</t>
  </si>
  <si>
    <t>OrganizedInc</t>
  </si>
  <si>
    <t>DeepInstinct</t>
  </si>
  <si>
    <t>BeckGroupInc</t>
  </si>
  <si>
    <t>Tripwire</t>
  </si>
  <si>
    <t>ClatterChatter</t>
  </si>
  <si>
    <t>YoungConsulting</t>
  </si>
  <si>
    <t>Influitive</t>
  </si>
  <si>
    <t>SecureSmarter</t>
  </si>
  <si>
    <t>Growthonics</t>
  </si>
  <si>
    <t>Pop-Culture</t>
  </si>
  <si>
    <t>Bombardier</t>
  </si>
  <si>
    <t>Scality</t>
  </si>
  <si>
    <t>Preventia</t>
  </si>
  <si>
    <t>BeaconHillConstructionCo</t>
  </si>
  <si>
    <t>DigitalDiveMarketing</t>
  </si>
  <si>
    <t>ConfidentPrivate</t>
  </si>
  <si>
    <t>FursKips</t>
  </si>
  <si>
    <t>StunningCorp</t>
  </si>
  <si>
    <t>FaithfulCorp</t>
  </si>
  <si>
    <t>HobbyLobby</t>
  </si>
  <si>
    <t>BaileyGeneralLLC</t>
  </si>
  <si>
    <t>WeDigTech</t>
  </si>
  <si>
    <t>SprayShop</t>
  </si>
  <si>
    <t>ChoosySecurities</t>
  </si>
  <si>
    <t>Knowza</t>
  </si>
  <si>
    <t>EffortlessConsultants</t>
  </si>
  <si>
    <t>Seekingon</t>
  </si>
  <si>
    <t>CodeCreations</t>
  </si>
  <si>
    <t>Coins1st</t>
  </si>
  <si>
    <t>WeekendMedia</t>
  </si>
  <si>
    <t>MedsnakeMedia</t>
  </si>
  <si>
    <t>IntellectualHill</t>
  </si>
  <si>
    <t>Clasicope</t>
  </si>
  <si>
    <t>IgniteVisibility</t>
  </si>
  <si>
    <t>DisciplinedStrategies</t>
  </si>
  <si>
    <t>Kiddily</t>
  </si>
  <si>
    <t>Open-mindedThe</t>
  </si>
  <si>
    <t>CatalystConsulting</t>
  </si>
  <si>
    <t>BearConstructionCompany</t>
  </si>
  <si>
    <t>BlackbeltTechnologies</t>
  </si>
  <si>
    <t>Plexus</t>
  </si>
  <si>
    <t>Etc</t>
  </si>
  <si>
    <t>EmpiricMarketing</t>
  </si>
  <si>
    <t>Drawbridge</t>
  </si>
  <si>
    <t>Hiphonic</t>
  </si>
  <si>
    <t>AccountableStreet</t>
  </si>
  <si>
    <t>AnchorAdvisors</t>
  </si>
  <si>
    <t>Chats&amp;Chix</t>
  </si>
  <si>
    <t>PremiumIntegrations</t>
  </si>
  <si>
    <t>WinningServices</t>
  </si>
  <si>
    <t>TheGrowthCo</t>
  </si>
  <si>
    <t>UltrasafeSecurity</t>
  </si>
  <si>
    <t>ShadyBootz</t>
  </si>
  <si>
    <t>ProgressiveThe</t>
  </si>
  <si>
    <t>Cider&amp;String</t>
  </si>
  <si>
    <t>Hits&amp;Misses</t>
  </si>
  <si>
    <t>StingAlarm</t>
  </si>
  <si>
    <t>GroundbreakingCo</t>
  </si>
  <si>
    <t>TheHive</t>
  </si>
  <si>
    <t>IdioticMedia</t>
  </si>
  <si>
    <t>Innometrics</t>
  </si>
  <si>
    <t>LavishConsultants</t>
  </si>
  <si>
    <t>Bizarrify</t>
  </si>
  <si>
    <t>LifePaths</t>
  </si>
  <si>
    <t>TransparentConsulting</t>
  </si>
  <si>
    <t>Cloudrevel</t>
  </si>
  <si>
    <t>PivotalResources</t>
  </si>
  <si>
    <t>HiveCuddle</t>
  </si>
  <si>
    <t>VappaShop</t>
  </si>
  <si>
    <t>IrreverentStrategies</t>
  </si>
  <si>
    <t>StratosphereNetworks</t>
  </si>
  <si>
    <t>Moon&amp;Vellum</t>
  </si>
  <si>
    <t>DramaticAsset</t>
  </si>
  <si>
    <t>FearlessThe</t>
  </si>
  <si>
    <t>Wednesdays</t>
  </si>
  <si>
    <t>ClassicStrategic</t>
  </si>
  <si>
    <t>RandomReason</t>
  </si>
  <si>
    <t>Self-sufficientSecurities</t>
  </si>
  <si>
    <t>Securiteam</t>
  </si>
  <si>
    <t>RapidSecuritySolutions,LLC</t>
  </si>
  <si>
    <t>Music&amp;Dime</t>
  </si>
  <si>
    <t>TechTack</t>
  </si>
  <si>
    <t>Enveotech</t>
  </si>
  <si>
    <t>Best-ChoiceContractingCompany</t>
  </si>
  <si>
    <t>DigitalGuardian</t>
  </si>
  <si>
    <t>ReliantSafety</t>
  </si>
  <si>
    <t>EdgyCounsel</t>
  </si>
  <si>
    <t>IntegratedInsight</t>
  </si>
  <si>
    <t>B2CContracting</t>
  </si>
  <si>
    <t>SageInvestors</t>
  </si>
  <si>
    <t>Digimail</t>
  </si>
  <si>
    <t>P3L&amp;Co</t>
  </si>
  <si>
    <t>Fewofmany</t>
  </si>
  <si>
    <t>TheInvisiblePaintbrush</t>
  </si>
  <si>
    <t>PristinePurpose</t>
  </si>
  <si>
    <t>TwistersGymnastics</t>
  </si>
  <si>
    <t>VintageGlobal</t>
  </si>
  <si>
    <t>IluminaSolutions</t>
  </si>
  <si>
    <t>InvestSpend</t>
  </si>
  <si>
    <t>Defendify</t>
  </si>
  <si>
    <t>BanditSolutions</t>
  </si>
  <si>
    <t>SnapStitch</t>
  </si>
  <si>
    <t>OatySnack</t>
  </si>
  <si>
    <t>TubedHo</t>
  </si>
  <si>
    <t>Funkaballs</t>
  </si>
  <si>
    <t>Innominds</t>
  </si>
  <si>
    <t>QuietServices</t>
  </si>
  <si>
    <t>Bits&amp;Pieces</t>
  </si>
  <si>
    <t>SwipeWire</t>
  </si>
  <si>
    <t>GreenTeam</t>
  </si>
  <si>
    <t>EvolvTechnology</t>
  </si>
  <si>
    <t>Tap&amp;Teak</t>
  </si>
  <si>
    <t>Hoochville</t>
  </si>
  <si>
    <t>AlmondSugar</t>
  </si>
  <si>
    <t>SoulfulManagement</t>
  </si>
  <si>
    <t>ResourceRefresh</t>
  </si>
  <si>
    <t>EndeavorPartners</t>
  </si>
  <si>
    <t>LegalRight</t>
  </si>
  <si>
    <t>SalientSystems</t>
  </si>
  <si>
    <t>Gannet&amp;Elves</t>
  </si>
  <si>
    <t>EasygoingAdvisors</t>
  </si>
  <si>
    <t>Conceptual</t>
  </si>
  <si>
    <t>AgreeableInc</t>
  </si>
  <si>
    <t>ThePrize</t>
  </si>
  <si>
    <t>FusionAlliance</t>
  </si>
  <si>
    <t>Souvernak</t>
  </si>
  <si>
    <t>ResoluteLLC</t>
  </si>
  <si>
    <t>BandOfContractors</t>
  </si>
  <si>
    <t>CoastalInvestors</t>
  </si>
  <si>
    <t>LosAmigosTaqueria</t>
  </si>
  <si>
    <t>BrrrRink</t>
  </si>
  <si>
    <t>Kind-HeartedAdvisers</t>
  </si>
  <si>
    <t>IngeniousPortfolio</t>
  </si>
  <si>
    <t>MoonStore</t>
  </si>
  <si>
    <t>LavishInvestment</t>
  </si>
  <si>
    <t>EndPoint</t>
  </si>
  <si>
    <t>VictoryFirst</t>
  </si>
  <si>
    <t>KEYperSytems</t>
  </si>
  <si>
    <t>LookingPoint</t>
  </si>
  <si>
    <t>AlliedConsultants</t>
  </si>
  <si>
    <t>CreativeBlaw</t>
  </si>
  <si>
    <t>Acumen</t>
  </si>
  <si>
    <t>CraftCreate</t>
  </si>
  <si>
    <t>UniVoIP,Inc</t>
  </si>
  <si>
    <t>Excursy</t>
  </si>
  <si>
    <t>Formonix</t>
  </si>
  <si>
    <t>BuyBusters</t>
  </si>
  <si>
    <t>Essentials</t>
  </si>
  <si>
    <t>Yasdene</t>
  </si>
  <si>
    <t>CraftyCorn</t>
  </si>
  <si>
    <t>Technologent</t>
  </si>
  <si>
    <t>Advisian</t>
  </si>
  <si>
    <t>2GigTechnologies</t>
  </si>
  <si>
    <t>DaintyCo</t>
  </si>
  <si>
    <t>InstantlySafe</t>
  </si>
  <si>
    <t>XyloFurniture</t>
  </si>
  <si>
    <t>Wildflowers</t>
  </si>
  <si>
    <t>MarathonPhysicalTherapy</t>
  </si>
  <si>
    <t>DeterrentTechnologies</t>
  </si>
  <si>
    <t>VolumeNine</t>
  </si>
  <si>
    <t>ModerateServices</t>
  </si>
  <si>
    <t>ElieandJane’s</t>
  </si>
  <si>
    <t>Tourish</t>
  </si>
  <si>
    <t>ThreatExtinguisher</t>
  </si>
  <si>
    <t>FindAgenda</t>
  </si>
  <si>
    <t>SafeHavenSecurity</t>
  </si>
  <si>
    <t>Protiviti</t>
  </si>
  <si>
    <t>Metricsilo</t>
  </si>
  <si>
    <t>BrickHouseSecurity</t>
  </si>
  <si>
    <t>StoneSecurity</t>
  </si>
  <si>
    <t>SheildIT</t>
  </si>
  <si>
    <t>SilenceCenter</t>
  </si>
  <si>
    <t>7Eleven</t>
  </si>
  <si>
    <t>SemicolonBookstore</t>
  </si>
  <si>
    <t>StandardCapital</t>
  </si>
  <si>
    <t>Birdcage&amp;Corn</t>
  </si>
  <si>
    <t>QuickSpace</t>
  </si>
  <si>
    <t>SheRunsIt</t>
  </si>
  <si>
    <t>BeachBuildingGroup</t>
  </si>
  <si>
    <t>CafeStokke</t>
  </si>
  <si>
    <t>HuesofBlues</t>
  </si>
  <si>
    <t>Subliminate</t>
  </si>
  <si>
    <t>Kupfert&amp;Kim</t>
  </si>
  <si>
    <t>GroundfloorConsulting</t>
  </si>
  <si>
    <t>Ignition</t>
  </si>
  <si>
    <t>CorsaBianca</t>
  </si>
  <si>
    <t>NuanceCommunications,Inc</t>
  </si>
  <si>
    <t>RantoulGroup</t>
  </si>
  <si>
    <t>NeatServices</t>
  </si>
  <si>
    <t>KickStartMarketing</t>
  </si>
  <si>
    <t>BeBusy</t>
  </si>
  <si>
    <t>CuteOnTop</t>
  </si>
  <si>
    <t>Trilby&amp;Throne</t>
  </si>
  <si>
    <t>EfficientGlobal</t>
  </si>
  <si>
    <t>VividFirst</t>
  </si>
  <si>
    <t>Incrementa</t>
  </si>
  <si>
    <t>VibrantMedia</t>
  </si>
  <si>
    <t>CreativeJuice</t>
  </si>
  <si>
    <t>HolisticBusiness</t>
  </si>
  <si>
    <t>PavoPops</t>
  </si>
  <si>
    <t>CompassMortgage</t>
  </si>
  <si>
    <t>RedsproutMedia</t>
  </si>
  <si>
    <t>FunctionalFund</t>
  </si>
  <si>
    <t>AuroraIT</t>
  </si>
  <si>
    <t>Whatsits</t>
  </si>
  <si>
    <t>ForelLibrary</t>
  </si>
  <si>
    <t>ScorpionProtection</t>
  </si>
  <si>
    <t>FlirtyStrategies</t>
  </si>
  <si>
    <t>9YardsMedia</t>
  </si>
  <si>
    <t>Oksana</t>
  </si>
  <si>
    <t>4FrontEngineeredSolutions</t>
  </si>
  <si>
    <t>BearNowConstruct</t>
  </si>
  <si>
    <t>ReefTechnology</t>
  </si>
  <si>
    <t>Nick’SKnacks</t>
  </si>
  <si>
    <t>Airhead</t>
  </si>
  <si>
    <t>EightRevolution</t>
  </si>
  <si>
    <t>Randominium</t>
  </si>
  <si>
    <t>DualLight</t>
  </si>
  <si>
    <t>BeachBip</t>
  </si>
  <si>
    <t>Wanderu</t>
  </si>
  <si>
    <t>Drivemo</t>
  </si>
  <si>
    <t>SAGEIntegration,Inc</t>
  </si>
  <si>
    <t>CutePox</t>
  </si>
  <si>
    <t>BeachContracting</t>
  </si>
  <si>
    <t>Xyberci</t>
  </si>
  <si>
    <t>DiligentInnovations</t>
  </si>
  <si>
    <t>DynoSpecs</t>
  </si>
  <si>
    <t>UtopiaGlobal</t>
  </si>
  <si>
    <t>Tasty&amp;Sleek</t>
  </si>
  <si>
    <t>RandomRepair</t>
  </si>
  <si>
    <t>InnoometriksIncorporated</t>
  </si>
  <si>
    <t>SmarkLabs</t>
  </si>
  <si>
    <t>EtCetera</t>
  </si>
  <si>
    <t>StoicAdvisor</t>
  </si>
  <si>
    <t>Loan_Accepted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</si>
</sst>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£-809]#,##0"/>
    <numFmt numFmtId="165" formatCode="yyyy\-mm\-dd"/>
    <numFmt numFmtId="166" formatCode="[$£-809]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1" sqref="A11"/>
    </sheetView>
  </sheetViews>
  <sheetFormatPr defaultColWidth="12.6640625" defaultRowHeight="15.75" customHeight="1" x14ac:dyDescent="0.25"/>
  <cols>
    <col min="1" max="1" width="25.109375" bestFit="1" customWidth="1"/>
    <col min="2" max="2" width="120.66406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3" t="s">
        <v>2</v>
      </c>
      <c r="B3" s="1" t="s">
        <v>3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3" t="s">
        <v>4</v>
      </c>
      <c r="B4" s="1" t="s">
        <v>5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3" t="s">
        <v>6</v>
      </c>
      <c r="B5" s="1" t="s">
        <v>7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3" t="s">
        <v>8</v>
      </c>
      <c r="B6" s="1" t="s">
        <v>9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3" t="s">
        <v>10</v>
      </c>
      <c r="B7" s="1" t="s">
        <v>11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3" t="s">
        <v>12</v>
      </c>
      <c r="B8" s="1" t="s">
        <v>13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3" t="s">
        <v>14</v>
      </c>
      <c r="B9" s="1" t="s">
        <v>15</v>
      </c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3" t="s">
        <v>16</v>
      </c>
      <c r="B10" s="1" t="s">
        <v>17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549</v>
      </c>
      <c r="B11" s="1" t="s">
        <v>18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5" t="s">
        <v>19</v>
      </c>
      <c r="B12" s="5" t="s">
        <v>20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5" t="s">
        <v>21</v>
      </c>
      <c r="B13" s="1" t="s">
        <v>22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 t="s">
        <v>23</v>
      </c>
      <c r="B14" s="1" t="s">
        <v>24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 t="s">
        <v>25</v>
      </c>
      <c r="B15" s="1" t="s">
        <v>26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5" t="s">
        <v>27</v>
      </c>
      <c r="B16" s="1" t="s">
        <v>28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6" t="s">
        <v>29</v>
      </c>
      <c r="B17" s="5" t="s">
        <v>30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6" t="s">
        <v>31</v>
      </c>
      <c r="B18" s="5" t="s">
        <v>32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960"/>
  <sheetViews>
    <sheetView zoomScale="70" zoomScaleNormal="7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A40" sqref="A40"/>
    </sheetView>
  </sheetViews>
  <sheetFormatPr defaultColWidth="12.6640625" defaultRowHeight="15.75" customHeight="1" x14ac:dyDescent="0.25"/>
  <cols>
    <col min="1" max="1" width="25.6640625" customWidth="1"/>
    <col min="2" max="2" width="17.5546875" customWidth="1"/>
    <col min="3" max="3" width="15.44140625" customWidth="1"/>
    <col min="4" max="4" width="7.44140625" bestFit="1" customWidth="1"/>
    <col min="5" max="5" width="13.33203125" bestFit="1" customWidth="1"/>
    <col min="6" max="6" width="16" bestFit="1" customWidth="1"/>
    <col min="7" max="7" width="14.5546875" bestFit="1" customWidth="1"/>
    <col min="8" max="8" width="15.77734375" bestFit="1" customWidth="1"/>
    <col min="9" max="9" width="14.6640625" bestFit="1" customWidth="1"/>
    <col min="10" max="11" width="10.6640625" customWidth="1"/>
    <col min="12" max="12" width="4.6640625" customWidth="1"/>
    <col min="13" max="13" width="6.109375" customWidth="1"/>
    <col min="14" max="14" width="11.33203125" customWidth="1"/>
    <col min="15" max="15" width="17.33203125" customWidth="1"/>
    <col min="16" max="16" width="22.109375" customWidth="1"/>
    <col min="17" max="17" width="17.33203125" customWidth="1"/>
  </cols>
  <sheetData>
    <row r="1" spans="1:42" ht="15.75" customHeight="1" x14ac:dyDescent="0.25">
      <c r="A1" s="3" t="s">
        <v>2</v>
      </c>
      <c r="B1" s="3" t="s">
        <v>4</v>
      </c>
      <c r="C1" s="3" t="s">
        <v>6</v>
      </c>
      <c r="D1" s="3" t="s">
        <v>33</v>
      </c>
      <c r="E1" s="3" t="s">
        <v>10</v>
      </c>
      <c r="F1" s="4" t="s">
        <v>12</v>
      </c>
      <c r="G1" s="3" t="s">
        <v>14</v>
      </c>
      <c r="H1" s="4" t="s">
        <v>34</v>
      </c>
      <c r="I1" s="3" t="s">
        <v>549</v>
      </c>
      <c r="J1" s="4" t="s">
        <v>19</v>
      </c>
      <c r="K1" s="4" t="s">
        <v>21</v>
      </c>
      <c r="L1" s="3" t="s">
        <v>23</v>
      </c>
      <c r="M1" s="3" t="s">
        <v>25</v>
      </c>
      <c r="N1" s="5" t="s">
        <v>27</v>
      </c>
      <c r="O1" s="4" t="s">
        <v>29</v>
      </c>
      <c r="P1" s="4" t="s">
        <v>31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5.75" customHeight="1" x14ac:dyDescent="0.25">
      <c r="A2" s="3" t="s">
        <v>35</v>
      </c>
      <c r="B2" s="7">
        <v>43586</v>
      </c>
      <c r="C2" s="3" t="s">
        <v>36</v>
      </c>
      <c r="D2" s="8">
        <v>3</v>
      </c>
      <c r="E2" s="8">
        <v>204.36151017669275</v>
      </c>
      <c r="F2" s="9">
        <v>94170.871738487083</v>
      </c>
      <c r="G2" s="10">
        <v>-1</v>
      </c>
      <c r="H2" s="9">
        <v>80000</v>
      </c>
      <c r="I2" s="10">
        <v>0</v>
      </c>
      <c r="J2" s="9">
        <v>0</v>
      </c>
      <c r="K2" s="9">
        <v>0</v>
      </c>
      <c r="L2" s="10">
        <v>0</v>
      </c>
      <c r="M2" s="10">
        <v>0</v>
      </c>
      <c r="N2" s="9">
        <v>0</v>
      </c>
      <c r="O2" s="9">
        <f t="shared" ref="O2:O256" si="0">2.5%*J2</f>
        <v>0</v>
      </c>
      <c r="P2" s="9">
        <f t="shared" ref="P2:P256" si="1">2%*J2</f>
        <v>0</v>
      </c>
      <c r="Q2" s="11"/>
      <c r="R2" s="1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15.75" customHeight="1" x14ac:dyDescent="0.25">
      <c r="A3" s="3" t="s">
        <v>37</v>
      </c>
      <c r="B3" s="7">
        <v>43586</v>
      </c>
      <c r="C3" s="3" t="s">
        <v>36</v>
      </c>
      <c r="D3" s="8">
        <v>81.982201775391346</v>
      </c>
      <c r="E3" s="8">
        <v>214.5380745180986</v>
      </c>
      <c r="F3" s="9">
        <v>99016.877848935022</v>
      </c>
      <c r="G3" s="10">
        <v>0</v>
      </c>
      <c r="H3" s="9">
        <v>90000</v>
      </c>
      <c r="I3" s="10">
        <v>0</v>
      </c>
      <c r="J3" s="9">
        <v>0</v>
      </c>
      <c r="K3" s="9">
        <v>0</v>
      </c>
      <c r="L3" s="10">
        <v>0</v>
      </c>
      <c r="M3" s="10">
        <v>0</v>
      </c>
      <c r="N3" s="9">
        <v>0</v>
      </c>
      <c r="O3" s="9">
        <f t="shared" si="0"/>
        <v>0</v>
      </c>
      <c r="P3" s="9">
        <f t="shared" si="1"/>
        <v>0</v>
      </c>
      <c r="Q3" s="11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15.75" customHeight="1" x14ac:dyDescent="0.25">
      <c r="A4" s="3" t="s">
        <v>38</v>
      </c>
      <c r="B4" s="7">
        <v>43617</v>
      </c>
      <c r="C4" s="3" t="s">
        <v>39</v>
      </c>
      <c r="D4" s="8">
        <v>43.907243966383113</v>
      </c>
      <c r="E4" s="8">
        <v>201.20054063794987</v>
      </c>
      <c r="F4" s="9">
        <v>59298.135549232851</v>
      </c>
      <c r="G4" s="10">
        <v>0</v>
      </c>
      <c r="H4" s="9">
        <v>40000</v>
      </c>
      <c r="I4" s="10">
        <v>1</v>
      </c>
      <c r="J4" s="9">
        <v>40000</v>
      </c>
      <c r="K4" s="9">
        <v>2106.7550715026432</v>
      </c>
      <c r="L4" s="10">
        <v>6</v>
      </c>
      <c r="M4" s="10">
        <v>0</v>
      </c>
      <c r="N4" s="9">
        <v>0</v>
      </c>
      <c r="O4" s="9">
        <f t="shared" si="0"/>
        <v>1000</v>
      </c>
      <c r="P4" s="9">
        <f t="shared" si="1"/>
        <v>800</v>
      </c>
      <c r="Q4" s="1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15.75" customHeight="1" x14ac:dyDescent="0.25">
      <c r="A5" s="3" t="s">
        <v>40</v>
      </c>
      <c r="B5" s="7">
        <v>43617</v>
      </c>
      <c r="C5" s="3" t="s">
        <v>39</v>
      </c>
      <c r="D5" s="8">
        <v>39.877202111075583</v>
      </c>
      <c r="E5" s="8">
        <v>185.45780544601303</v>
      </c>
      <c r="F5" s="9">
        <v>270280.18870684295</v>
      </c>
      <c r="G5" s="10">
        <v>1</v>
      </c>
      <c r="H5" s="9">
        <v>220000</v>
      </c>
      <c r="I5" s="10">
        <v>0</v>
      </c>
      <c r="J5" s="9">
        <v>0</v>
      </c>
      <c r="K5" s="9">
        <v>0</v>
      </c>
      <c r="L5" s="10">
        <v>0</v>
      </c>
      <c r="M5" s="10">
        <v>0</v>
      </c>
      <c r="N5" s="9">
        <v>0</v>
      </c>
      <c r="O5" s="9">
        <f t="shared" si="0"/>
        <v>0</v>
      </c>
      <c r="P5" s="9">
        <f t="shared" si="1"/>
        <v>0</v>
      </c>
      <c r="Q5" s="1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15.75" customHeight="1" x14ac:dyDescent="0.25">
      <c r="A6" s="3" t="s">
        <v>37</v>
      </c>
      <c r="B6" s="7">
        <v>43617</v>
      </c>
      <c r="C6" s="3" t="s">
        <v>36</v>
      </c>
      <c r="D6" s="8">
        <v>83.836236209957121</v>
      </c>
      <c r="E6" s="8">
        <v>124.74430345593839</v>
      </c>
      <c r="F6" s="9">
        <v>121108.78065867316</v>
      </c>
      <c r="G6" s="10">
        <v>0</v>
      </c>
      <c r="H6" s="9">
        <v>80000</v>
      </c>
      <c r="I6" s="10">
        <v>1</v>
      </c>
      <c r="J6" s="9">
        <v>80000</v>
      </c>
      <c r="K6" s="9">
        <v>7161.0229981498578</v>
      </c>
      <c r="L6" s="10">
        <v>8</v>
      </c>
      <c r="M6" s="10">
        <v>1</v>
      </c>
      <c r="N6" s="9">
        <v>35095.109825297484</v>
      </c>
      <c r="O6" s="9">
        <f t="shared" si="0"/>
        <v>2000</v>
      </c>
      <c r="P6" s="9">
        <f t="shared" si="1"/>
        <v>1600</v>
      </c>
      <c r="Q6" s="1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15.75" customHeight="1" x14ac:dyDescent="0.25">
      <c r="A7" s="3" t="s">
        <v>41</v>
      </c>
      <c r="B7" s="7">
        <v>43617</v>
      </c>
      <c r="C7" s="3" t="s">
        <v>39</v>
      </c>
      <c r="D7" s="8">
        <v>65.843640566290745</v>
      </c>
      <c r="E7" s="8">
        <v>299.34355078750076</v>
      </c>
      <c r="F7" s="9">
        <v>278167.15031710721</v>
      </c>
      <c r="G7" s="10">
        <v>1</v>
      </c>
      <c r="H7" s="9">
        <v>180000</v>
      </c>
      <c r="I7" s="10">
        <v>1</v>
      </c>
      <c r="J7" s="9">
        <v>180000</v>
      </c>
      <c r="K7" s="9">
        <v>15109.675549659094</v>
      </c>
      <c r="L7" s="10">
        <v>6</v>
      </c>
      <c r="M7" s="10">
        <v>0</v>
      </c>
      <c r="N7" s="9">
        <v>0</v>
      </c>
      <c r="O7" s="9">
        <f t="shared" si="0"/>
        <v>4500</v>
      </c>
      <c r="P7" s="9">
        <f t="shared" si="1"/>
        <v>3600</v>
      </c>
      <c r="Q7" s="11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15.75" customHeight="1" x14ac:dyDescent="0.25">
      <c r="A8" s="3" t="s">
        <v>40</v>
      </c>
      <c r="B8" s="7">
        <v>43647</v>
      </c>
      <c r="C8" s="3" t="s">
        <v>39</v>
      </c>
      <c r="D8" s="8">
        <v>5.6751352531183432</v>
      </c>
      <c r="E8" s="8">
        <v>114.40664953455524</v>
      </c>
      <c r="F8" s="9">
        <v>103720.68489762464</v>
      </c>
      <c r="G8" s="10">
        <v>1</v>
      </c>
      <c r="H8" s="9">
        <v>130000</v>
      </c>
      <c r="I8" s="10">
        <v>0</v>
      </c>
      <c r="J8" s="9">
        <v>0</v>
      </c>
      <c r="K8" s="9">
        <v>0</v>
      </c>
      <c r="L8" s="10">
        <v>0</v>
      </c>
      <c r="M8" s="10">
        <v>0</v>
      </c>
      <c r="N8" s="9">
        <v>0</v>
      </c>
      <c r="O8" s="9">
        <f t="shared" si="0"/>
        <v>0</v>
      </c>
      <c r="P8" s="9">
        <f t="shared" si="1"/>
        <v>0</v>
      </c>
      <c r="Q8" s="11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15.75" customHeight="1" x14ac:dyDescent="0.25">
      <c r="A9" s="3" t="s">
        <v>41</v>
      </c>
      <c r="B9" s="7">
        <v>43647</v>
      </c>
      <c r="C9" s="3" t="s">
        <v>39</v>
      </c>
      <c r="D9" s="8">
        <v>54.599738008393878</v>
      </c>
      <c r="E9" s="8">
        <v>303.58666518453424</v>
      </c>
      <c r="F9" s="9">
        <v>411162.38846694754</v>
      </c>
      <c r="G9" s="10">
        <v>0</v>
      </c>
      <c r="H9" s="9">
        <v>270000</v>
      </c>
      <c r="I9" s="10">
        <v>1</v>
      </c>
      <c r="J9" s="9">
        <v>270000</v>
      </c>
      <c r="K9" s="9">
        <v>10231.070128939346</v>
      </c>
      <c r="L9" s="10">
        <v>6</v>
      </c>
      <c r="M9" s="10">
        <v>0</v>
      </c>
      <c r="N9" s="9">
        <v>0</v>
      </c>
      <c r="O9" s="9">
        <f t="shared" si="0"/>
        <v>6750</v>
      </c>
      <c r="P9" s="9">
        <f t="shared" si="1"/>
        <v>5400</v>
      </c>
      <c r="Q9" s="11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15.75" customHeight="1" x14ac:dyDescent="0.25">
      <c r="A10" s="3" t="s">
        <v>42</v>
      </c>
      <c r="B10" s="7">
        <v>43647</v>
      </c>
      <c r="C10" s="3" t="s">
        <v>39</v>
      </c>
      <c r="D10" s="8">
        <v>47.840505560314341</v>
      </c>
      <c r="E10" s="8">
        <v>321.60542225105092</v>
      </c>
      <c r="F10" s="9">
        <v>248359.89875375887</v>
      </c>
      <c r="G10" s="10">
        <v>0</v>
      </c>
      <c r="H10" s="9">
        <v>160000</v>
      </c>
      <c r="I10" s="10">
        <v>0</v>
      </c>
      <c r="J10" s="9">
        <v>0</v>
      </c>
      <c r="K10" s="9">
        <v>0</v>
      </c>
      <c r="L10" s="10">
        <v>0</v>
      </c>
      <c r="M10" s="10">
        <v>0</v>
      </c>
      <c r="N10" s="9">
        <v>0</v>
      </c>
      <c r="O10" s="9">
        <f t="shared" si="0"/>
        <v>0</v>
      </c>
      <c r="P10" s="9">
        <f t="shared" si="1"/>
        <v>0</v>
      </c>
      <c r="Q10" s="1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15.75" customHeight="1" x14ac:dyDescent="0.25">
      <c r="A11" s="3" t="s">
        <v>43</v>
      </c>
      <c r="B11" s="7">
        <v>43647</v>
      </c>
      <c r="C11" s="3" t="s">
        <v>36</v>
      </c>
      <c r="D11" s="8">
        <v>26.825772518462369</v>
      </c>
      <c r="E11" s="8">
        <v>222.97378606290772</v>
      </c>
      <c r="F11" s="9">
        <v>60248.177518581848</v>
      </c>
      <c r="G11" s="10">
        <v>0</v>
      </c>
      <c r="H11" s="9">
        <v>50000</v>
      </c>
      <c r="I11" s="10">
        <v>1</v>
      </c>
      <c r="J11" s="9">
        <v>50000</v>
      </c>
      <c r="K11" s="9">
        <v>5030.4467757305429</v>
      </c>
      <c r="L11" s="10">
        <v>6</v>
      </c>
      <c r="M11" s="10">
        <v>0</v>
      </c>
      <c r="N11" s="9">
        <v>0</v>
      </c>
      <c r="O11" s="9">
        <f t="shared" si="0"/>
        <v>1250</v>
      </c>
      <c r="P11" s="9">
        <f t="shared" si="1"/>
        <v>1000</v>
      </c>
      <c r="Q11" s="11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ht="15.75" customHeight="1" x14ac:dyDescent="0.25">
      <c r="A12" s="3" t="s">
        <v>44</v>
      </c>
      <c r="B12" s="7">
        <v>43678</v>
      </c>
      <c r="C12" s="3" t="s">
        <v>36</v>
      </c>
      <c r="D12" s="8">
        <v>103.42634072998911</v>
      </c>
      <c r="E12" s="8">
        <v>163.56251154519714</v>
      </c>
      <c r="F12" s="9">
        <v>295798.90599173412</v>
      </c>
      <c r="G12" s="10">
        <v>0</v>
      </c>
      <c r="H12" s="9">
        <v>200000</v>
      </c>
      <c r="I12" s="10">
        <v>1</v>
      </c>
      <c r="J12" s="9">
        <v>200000</v>
      </c>
      <c r="K12" s="9">
        <v>21312.304808997917</v>
      </c>
      <c r="L12" s="10">
        <v>6</v>
      </c>
      <c r="M12" s="10">
        <v>0</v>
      </c>
      <c r="N12" s="9">
        <v>0</v>
      </c>
      <c r="O12" s="9">
        <f t="shared" si="0"/>
        <v>5000</v>
      </c>
      <c r="P12" s="9">
        <f t="shared" si="1"/>
        <v>4000</v>
      </c>
      <c r="Q12" s="11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15.75" customHeight="1" x14ac:dyDescent="0.25">
      <c r="A13" s="3" t="s">
        <v>45</v>
      </c>
      <c r="B13" s="7">
        <v>43678</v>
      </c>
      <c r="C13" s="3" t="s">
        <v>36</v>
      </c>
      <c r="D13" s="8">
        <v>35.456806177496354</v>
      </c>
      <c r="E13" s="8">
        <v>155.03911665714526</v>
      </c>
      <c r="F13" s="9">
        <v>66340.835536256956</v>
      </c>
      <c r="G13" s="10">
        <v>0</v>
      </c>
      <c r="H13" s="9">
        <v>80000</v>
      </c>
      <c r="I13" s="10">
        <v>0</v>
      </c>
      <c r="J13" s="9">
        <v>0</v>
      </c>
      <c r="K13" s="9">
        <v>0</v>
      </c>
      <c r="L13" s="10">
        <v>0</v>
      </c>
      <c r="M13" s="10">
        <v>0</v>
      </c>
      <c r="N13" s="9">
        <v>0</v>
      </c>
      <c r="O13" s="9">
        <f t="shared" si="0"/>
        <v>0</v>
      </c>
      <c r="P13" s="9">
        <f t="shared" si="1"/>
        <v>0</v>
      </c>
      <c r="Q13" s="1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15.75" customHeight="1" x14ac:dyDescent="0.25">
      <c r="A14" s="3" t="s">
        <v>46</v>
      </c>
      <c r="B14" s="7">
        <v>43678</v>
      </c>
      <c r="C14" s="3" t="s">
        <v>39</v>
      </c>
      <c r="D14" s="8">
        <v>57.750438425070733</v>
      </c>
      <c r="E14" s="8">
        <v>283.30365193556821</v>
      </c>
      <c r="F14" s="9">
        <v>42890.399792052493</v>
      </c>
      <c r="G14" s="10">
        <v>-1</v>
      </c>
      <c r="H14" s="9">
        <v>30000</v>
      </c>
      <c r="I14" s="10">
        <v>1</v>
      </c>
      <c r="J14" s="9">
        <v>30000</v>
      </c>
      <c r="K14" s="9">
        <v>1241.2983541523934</v>
      </c>
      <c r="L14" s="10">
        <v>6</v>
      </c>
      <c r="M14" s="10">
        <v>0</v>
      </c>
      <c r="N14" s="9">
        <v>0</v>
      </c>
      <c r="O14" s="9">
        <f t="shared" si="0"/>
        <v>750</v>
      </c>
      <c r="P14" s="9">
        <f t="shared" si="1"/>
        <v>600</v>
      </c>
      <c r="Q14" s="1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15.75" customHeight="1" x14ac:dyDescent="0.25">
      <c r="A15" s="3" t="s">
        <v>47</v>
      </c>
      <c r="B15" s="7">
        <v>43678</v>
      </c>
      <c r="C15" s="3" t="s">
        <v>36</v>
      </c>
      <c r="D15" s="8">
        <v>55.989835663153414</v>
      </c>
      <c r="E15" s="8">
        <v>127.79818982297698</v>
      </c>
      <c r="F15" s="9">
        <v>41121.47388404177</v>
      </c>
      <c r="G15" s="10">
        <v>0</v>
      </c>
      <c r="H15" s="9">
        <v>60000</v>
      </c>
      <c r="I15" s="10">
        <v>1</v>
      </c>
      <c r="J15" s="9">
        <v>60000</v>
      </c>
      <c r="K15" s="9">
        <v>7864.7309077514028</v>
      </c>
      <c r="L15" s="10">
        <v>6</v>
      </c>
      <c r="M15" s="10">
        <v>0</v>
      </c>
      <c r="N15" s="9">
        <v>0</v>
      </c>
      <c r="O15" s="9">
        <f t="shared" si="0"/>
        <v>1500</v>
      </c>
      <c r="P15" s="9">
        <f t="shared" si="1"/>
        <v>1200</v>
      </c>
      <c r="Q15" s="11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15.75" customHeight="1" x14ac:dyDescent="0.25">
      <c r="A16" s="3" t="s">
        <v>48</v>
      </c>
      <c r="B16" s="7">
        <v>43678</v>
      </c>
      <c r="C16" s="3" t="s">
        <v>36</v>
      </c>
      <c r="D16" s="8">
        <v>9.9172913250635713</v>
      </c>
      <c r="E16" s="8">
        <v>128.27560349414645</v>
      </c>
      <c r="F16" s="9">
        <v>21400.929521519032</v>
      </c>
      <c r="G16" s="10">
        <v>1</v>
      </c>
      <c r="H16" s="9">
        <v>30000</v>
      </c>
      <c r="I16" s="10">
        <v>0</v>
      </c>
      <c r="J16" s="9">
        <v>0</v>
      </c>
      <c r="K16" s="9">
        <v>0</v>
      </c>
      <c r="L16" s="10">
        <v>0</v>
      </c>
      <c r="M16" s="10">
        <v>0</v>
      </c>
      <c r="N16" s="9">
        <v>0</v>
      </c>
      <c r="O16" s="9">
        <f t="shared" si="0"/>
        <v>0</v>
      </c>
      <c r="P16" s="9">
        <f t="shared" si="1"/>
        <v>0</v>
      </c>
      <c r="Q16" s="11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15.75" customHeight="1" x14ac:dyDescent="0.25">
      <c r="A17" s="3" t="s">
        <v>48</v>
      </c>
      <c r="B17" s="7">
        <v>43709</v>
      </c>
      <c r="C17" s="3" t="s">
        <v>36</v>
      </c>
      <c r="D17" s="8">
        <v>10.470063435838931</v>
      </c>
      <c r="E17" s="8">
        <v>165.44791615778416</v>
      </c>
      <c r="F17" s="9">
        <v>157878.29058616792</v>
      </c>
      <c r="G17" s="10">
        <v>-1</v>
      </c>
      <c r="H17" s="9">
        <v>220000</v>
      </c>
      <c r="I17" s="10">
        <v>1</v>
      </c>
      <c r="J17" s="9">
        <v>220000</v>
      </c>
      <c r="K17" s="9">
        <v>24506.214113756134</v>
      </c>
      <c r="L17" s="10">
        <v>6</v>
      </c>
      <c r="M17" s="10">
        <v>0</v>
      </c>
      <c r="N17" s="9">
        <v>0</v>
      </c>
      <c r="O17" s="9">
        <f t="shared" si="0"/>
        <v>5500</v>
      </c>
      <c r="P17" s="9">
        <f t="shared" si="1"/>
        <v>4400</v>
      </c>
      <c r="Q17" s="11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ht="15.75" customHeight="1" x14ac:dyDescent="0.25">
      <c r="A18" s="3" t="s">
        <v>49</v>
      </c>
      <c r="B18" s="7">
        <v>43709</v>
      </c>
      <c r="C18" s="3" t="s">
        <v>39</v>
      </c>
      <c r="D18" s="8">
        <v>24.534345531514507</v>
      </c>
      <c r="E18" s="8">
        <v>158.78317985040943</v>
      </c>
      <c r="F18" s="9">
        <v>45549.638103241035</v>
      </c>
      <c r="G18" s="10">
        <v>0</v>
      </c>
      <c r="H18" s="9">
        <v>70000</v>
      </c>
      <c r="I18" s="10">
        <v>0</v>
      </c>
      <c r="J18" s="9">
        <v>0</v>
      </c>
      <c r="K18" s="9">
        <v>0</v>
      </c>
      <c r="L18" s="10">
        <v>0</v>
      </c>
      <c r="M18" s="10">
        <v>0</v>
      </c>
      <c r="N18" s="9">
        <v>0</v>
      </c>
      <c r="O18" s="9">
        <f t="shared" si="0"/>
        <v>0</v>
      </c>
      <c r="P18" s="9">
        <f t="shared" si="1"/>
        <v>0</v>
      </c>
      <c r="Q18" s="11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ht="15.75" customHeight="1" x14ac:dyDescent="0.25">
      <c r="A19" s="3" t="s">
        <v>37</v>
      </c>
      <c r="B19" s="7">
        <v>43709</v>
      </c>
      <c r="C19" s="3" t="s">
        <v>36</v>
      </c>
      <c r="D19" s="8">
        <v>86.276661621386268</v>
      </c>
      <c r="E19" s="8">
        <v>189.6663909613568</v>
      </c>
      <c r="F19" s="9">
        <v>262163.31148678111</v>
      </c>
      <c r="G19" s="10">
        <v>1</v>
      </c>
      <c r="H19" s="9">
        <v>180000</v>
      </c>
      <c r="I19" s="10">
        <v>1</v>
      </c>
      <c r="J19" s="9">
        <v>180000</v>
      </c>
      <c r="K19" s="9">
        <v>24089.770695815288</v>
      </c>
      <c r="L19" s="10">
        <v>8</v>
      </c>
      <c r="M19" s="10">
        <v>0</v>
      </c>
      <c r="N19" s="9">
        <v>0</v>
      </c>
      <c r="O19" s="9">
        <f t="shared" si="0"/>
        <v>4500</v>
      </c>
      <c r="P19" s="9">
        <f t="shared" si="1"/>
        <v>3600</v>
      </c>
      <c r="Q19" s="11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ht="15.75" customHeight="1" x14ac:dyDescent="0.25">
      <c r="A20" s="3" t="s">
        <v>50</v>
      </c>
      <c r="B20" s="7">
        <v>43709</v>
      </c>
      <c r="C20" s="3" t="s">
        <v>36</v>
      </c>
      <c r="D20" s="8">
        <v>12.641185696795178</v>
      </c>
      <c r="E20" s="8">
        <v>120.27417257431611</v>
      </c>
      <c r="F20" s="9">
        <v>58453.05407416643</v>
      </c>
      <c r="G20" s="10">
        <v>1</v>
      </c>
      <c r="H20" s="9">
        <v>70000</v>
      </c>
      <c r="I20" s="10">
        <v>0</v>
      </c>
      <c r="J20" s="9">
        <v>0</v>
      </c>
      <c r="K20" s="9">
        <v>0</v>
      </c>
      <c r="L20" s="10">
        <v>0</v>
      </c>
      <c r="M20" s="10">
        <v>0</v>
      </c>
      <c r="N20" s="9">
        <v>0</v>
      </c>
      <c r="O20" s="9">
        <f t="shared" si="0"/>
        <v>0</v>
      </c>
      <c r="P20" s="9">
        <f t="shared" si="1"/>
        <v>0</v>
      </c>
      <c r="Q20" s="11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ht="15.75" customHeight="1" x14ac:dyDescent="0.25">
      <c r="A21" s="3" t="s">
        <v>46</v>
      </c>
      <c r="B21" s="7">
        <v>43709</v>
      </c>
      <c r="C21" s="3" t="s">
        <v>39</v>
      </c>
      <c r="D21" s="8">
        <v>58.982846094994933</v>
      </c>
      <c r="E21" s="8">
        <v>183.12683727768777</v>
      </c>
      <c r="F21" s="9">
        <v>29097.073182610609</v>
      </c>
      <c r="G21" s="10">
        <v>0</v>
      </c>
      <c r="H21" s="9">
        <v>20000</v>
      </c>
      <c r="I21" s="10">
        <v>0</v>
      </c>
      <c r="J21" s="9">
        <v>0</v>
      </c>
      <c r="K21" s="9">
        <v>0</v>
      </c>
      <c r="L21" s="10">
        <v>0</v>
      </c>
      <c r="M21" s="10">
        <v>0</v>
      </c>
      <c r="N21" s="9">
        <v>0</v>
      </c>
      <c r="O21" s="9">
        <f t="shared" si="0"/>
        <v>0</v>
      </c>
      <c r="P21" s="9">
        <f t="shared" si="1"/>
        <v>0</v>
      </c>
      <c r="Q21" s="11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ht="15.75" customHeight="1" x14ac:dyDescent="0.25">
      <c r="A22" s="3" t="s">
        <v>41</v>
      </c>
      <c r="B22" s="7">
        <v>43709</v>
      </c>
      <c r="C22" s="3" t="s">
        <v>39</v>
      </c>
      <c r="D22" s="8">
        <v>56.629929703656167</v>
      </c>
      <c r="E22" s="8">
        <v>217.89578686268038</v>
      </c>
      <c r="F22" s="9">
        <v>1043278.3710805593</v>
      </c>
      <c r="G22" s="10">
        <v>0</v>
      </c>
      <c r="H22" s="9">
        <v>700000</v>
      </c>
      <c r="I22" s="10">
        <v>1</v>
      </c>
      <c r="J22" s="9">
        <v>700000</v>
      </c>
      <c r="K22" s="9">
        <v>57224.948164189751</v>
      </c>
      <c r="L22" s="10">
        <v>6</v>
      </c>
      <c r="M22" s="10">
        <v>0</v>
      </c>
      <c r="N22" s="9">
        <v>0</v>
      </c>
      <c r="O22" s="9">
        <f t="shared" si="0"/>
        <v>17500</v>
      </c>
      <c r="P22" s="9">
        <f t="shared" si="1"/>
        <v>14000</v>
      </c>
      <c r="Q22" s="11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ht="15.75" customHeight="1" x14ac:dyDescent="0.25">
      <c r="A23" s="3" t="s">
        <v>51</v>
      </c>
      <c r="B23" s="7">
        <v>43709</v>
      </c>
      <c r="C23" s="3" t="s">
        <v>36</v>
      </c>
      <c r="D23" s="8">
        <v>46.930878604182041</v>
      </c>
      <c r="E23" s="8">
        <v>177.82495992659696</v>
      </c>
      <c r="F23" s="9">
        <v>92383.618165516309</v>
      </c>
      <c r="G23" s="10">
        <v>1</v>
      </c>
      <c r="H23" s="9">
        <v>80000</v>
      </c>
      <c r="I23" s="10">
        <v>0</v>
      </c>
      <c r="J23" s="9">
        <v>0</v>
      </c>
      <c r="K23" s="9">
        <v>0</v>
      </c>
      <c r="L23" s="10">
        <v>0</v>
      </c>
      <c r="M23" s="10">
        <v>0</v>
      </c>
      <c r="N23" s="9">
        <v>0</v>
      </c>
      <c r="O23" s="9">
        <f t="shared" si="0"/>
        <v>0</v>
      </c>
      <c r="P23" s="9">
        <f t="shared" si="1"/>
        <v>0</v>
      </c>
      <c r="Q23" s="11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ht="15.75" customHeight="1" x14ac:dyDescent="0.25">
      <c r="A24" s="3" t="s">
        <v>52</v>
      </c>
      <c r="B24" s="7">
        <v>43739</v>
      </c>
      <c r="C24" s="3" t="s">
        <v>39</v>
      </c>
      <c r="D24" s="8">
        <v>50.809562176760849</v>
      </c>
      <c r="E24" s="8">
        <v>136.36357556844763</v>
      </c>
      <c r="F24" s="9">
        <v>29593.135091921988</v>
      </c>
      <c r="G24" s="10">
        <v>1</v>
      </c>
      <c r="H24" s="9">
        <v>20000</v>
      </c>
      <c r="I24" s="10">
        <v>1</v>
      </c>
      <c r="J24" s="9">
        <v>20000</v>
      </c>
      <c r="K24" s="9">
        <v>1159.2551722867333</v>
      </c>
      <c r="L24" s="10">
        <v>6</v>
      </c>
      <c r="M24" s="10">
        <v>0</v>
      </c>
      <c r="N24" s="9">
        <v>0</v>
      </c>
      <c r="O24" s="9">
        <f t="shared" si="0"/>
        <v>500</v>
      </c>
      <c r="P24" s="9">
        <f t="shared" si="1"/>
        <v>400</v>
      </c>
      <c r="Q24" s="1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ht="15.75" customHeight="1" x14ac:dyDescent="0.25">
      <c r="A25" s="3" t="s">
        <v>53</v>
      </c>
      <c r="B25" s="7">
        <v>43739</v>
      </c>
      <c r="C25" s="3" t="s">
        <v>39</v>
      </c>
      <c r="D25" s="8">
        <v>3.0231570376585228</v>
      </c>
      <c r="E25" s="8">
        <v>184.35232041130666</v>
      </c>
      <c r="F25" s="9">
        <v>51547.369792437072</v>
      </c>
      <c r="G25" s="10">
        <v>-1</v>
      </c>
      <c r="H25" s="9">
        <v>50000</v>
      </c>
      <c r="I25" s="10">
        <v>1</v>
      </c>
      <c r="J25" s="9">
        <v>50000</v>
      </c>
      <c r="K25" s="9">
        <v>4742.4837497229628</v>
      </c>
      <c r="L25" s="10">
        <v>7</v>
      </c>
      <c r="M25" s="10">
        <v>0</v>
      </c>
      <c r="N25" s="9">
        <v>0</v>
      </c>
      <c r="O25" s="9">
        <f t="shared" si="0"/>
        <v>1250</v>
      </c>
      <c r="P25" s="9">
        <f t="shared" si="1"/>
        <v>1000</v>
      </c>
      <c r="Q25" s="11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ht="15.75" customHeight="1" x14ac:dyDescent="0.25">
      <c r="A26" s="3" t="s">
        <v>54</v>
      </c>
      <c r="B26" s="7">
        <v>43739</v>
      </c>
      <c r="C26" s="3" t="s">
        <v>39</v>
      </c>
      <c r="D26" s="8">
        <v>26.415108714294785</v>
      </c>
      <c r="E26" s="8">
        <v>355.84758381194865</v>
      </c>
      <c r="F26" s="9">
        <v>1463113.0657745658</v>
      </c>
      <c r="G26" s="10">
        <v>-1</v>
      </c>
      <c r="H26" s="9">
        <v>1100000</v>
      </c>
      <c r="I26" s="10">
        <v>0</v>
      </c>
      <c r="J26" s="9">
        <v>0</v>
      </c>
      <c r="K26" s="9">
        <v>0</v>
      </c>
      <c r="L26" s="10">
        <v>0</v>
      </c>
      <c r="M26" s="10">
        <v>0</v>
      </c>
      <c r="N26" s="9">
        <v>0</v>
      </c>
      <c r="O26" s="9">
        <f t="shared" si="0"/>
        <v>0</v>
      </c>
      <c r="P26" s="9">
        <f t="shared" si="1"/>
        <v>0</v>
      </c>
      <c r="Q26" s="1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ht="15.75" customHeight="1" x14ac:dyDescent="0.25">
      <c r="A27" s="3" t="s">
        <v>46</v>
      </c>
      <c r="B27" s="7">
        <v>43739</v>
      </c>
      <c r="C27" s="3" t="s">
        <v>39</v>
      </c>
      <c r="D27" s="8">
        <v>59.133773524954286</v>
      </c>
      <c r="E27" s="8">
        <v>207.29720176595495</v>
      </c>
      <c r="F27" s="9">
        <v>101495.70306330091</v>
      </c>
      <c r="G27" s="10">
        <v>0</v>
      </c>
      <c r="H27" s="9">
        <v>140000</v>
      </c>
      <c r="I27" s="10">
        <v>0</v>
      </c>
      <c r="J27" s="9">
        <v>0</v>
      </c>
      <c r="K27" s="9">
        <v>0</v>
      </c>
      <c r="L27" s="10">
        <v>0</v>
      </c>
      <c r="M27" s="10">
        <v>0</v>
      </c>
      <c r="N27" s="9">
        <v>0</v>
      </c>
      <c r="O27" s="9">
        <f t="shared" si="0"/>
        <v>0</v>
      </c>
      <c r="P27" s="9">
        <f t="shared" si="1"/>
        <v>0</v>
      </c>
      <c r="Q27" s="11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ht="15.75" customHeight="1" x14ac:dyDescent="0.25">
      <c r="A28" s="3" t="s">
        <v>55</v>
      </c>
      <c r="B28" s="7">
        <v>43739</v>
      </c>
      <c r="C28" s="3" t="s">
        <v>39</v>
      </c>
      <c r="D28" s="8">
        <v>30.192009211142924</v>
      </c>
      <c r="E28" s="8">
        <v>147.33763046748612</v>
      </c>
      <c r="F28" s="9">
        <v>358633.74964198255</v>
      </c>
      <c r="G28" s="10">
        <v>-1</v>
      </c>
      <c r="H28" s="9">
        <v>490000</v>
      </c>
      <c r="I28" s="10">
        <v>0</v>
      </c>
      <c r="J28" s="9">
        <v>0</v>
      </c>
      <c r="K28" s="9">
        <v>0</v>
      </c>
      <c r="L28" s="10">
        <v>0</v>
      </c>
      <c r="M28" s="10">
        <v>0</v>
      </c>
      <c r="N28" s="9">
        <v>0</v>
      </c>
      <c r="O28" s="9">
        <f t="shared" si="0"/>
        <v>0</v>
      </c>
      <c r="P28" s="9">
        <f t="shared" si="1"/>
        <v>0</v>
      </c>
      <c r="Q28" s="1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ht="15.75" customHeight="1" x14ac:dyDescent="0.25">
      <c r="A29" s="3" t="s">
        <v>56</v>
      </c>
      <c r="B29" s="7">
        <v>43739</v>
      </c>
      <c r="C29" s="3" t="s">
        <v>39</v>
      </c>
      <c r="D29" s="8">
        <v>18.422058032399249</v>
      </c>
      <c r="E29" s="8">
        <v>210.25856013399428</v>
      </c>
      <c r="F29" s="9">
        <v>20174.805247469361</v>
      </c>
      <c r="G29" s="10">
        <v>1</v>
      </c>
      <c r="H29" s="9">
        <v>30000</v>
      </c>
      <c r="I29" s="10">
        <v>1</v>
      </c>
      <c r="J29" s="9">
        <v>30000</v>
      </c>
      <c r="K29" s="9">
        <v>827.07995117936105</v>
      </c>
      <c r="L29" s="10">
        <v>6</v>
      </c>
      <c r="M29" s="10">
        <v>0</v>
      </c>
      <c r="N29" s="9">
        <v>0</v>
      </c>
      <c r="O29" s="9">
        <f t="shared" si="0"/>
        <v>750</v>
      </c>
      <c r="P29" s="9">
        <f t="shared" si="1"/>
        <v>600</v>
      </c>
      <c r="Q29" s="11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ht="15.75" customHeight="1" x14ac:dyDescent="0.25">
      <c r="A30" s="3" t="s">
        <v>52</v>
      </c>
      <c r="B30" s="7">
        <v>43770</v>
      </c>
      <c r="C30" s="3" t="s">
        <v>39</v>
      </c>
      <c r="D30" s="8">
        <v>29.700144337080175</v>
      </c>
      <c r="E30" s="8">
        <v>202.12019543032034</v>
      </c>
      <c r="F30" s="9">
        <v>47611.153534635007</v>
      </c>
      <c r="G30" s="10">
        <v>0</v>
      </c>
      <c r="H30" s="9">
        <v>30000</v>
      </c>
      <c r="I30" s="10">
        <v>1</v>
      </c>
      <c r="J30" s="9">
        <v>30000</v>
      </c>
      <c r="K30" s="9">
        <v>1585.7158673524216</v>
      </c>
      <c r="L30" s="10">
        <v>6</v>
      </c>
      <c r="M30" s="10">
        <v>0</v>
      </c>
      <c r="N30" s="9">
        <v>0</v>
      </c>
      <c r="O30" s="9">
        <f t="shared" si="0"/>
        <v>750</v>
      </c>
      <c r="P30" s="9">
        <f t="shared" si="1"/>
        <v>600</v>
      </c>
      <c r="Q30" s="11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ht="15.75" customHeight="1" x14ac:dyDescent="0.25">
      <c r="A31" s="3" t="s">
        <v>57</v>
      </c>
      <c r="B31" s="7">
        <v>43770</v>
      </c>
      <c r="C31" s="3" t="s">
        <v>36</v>
      </c>
      <c r="D31" s="8">
        <v>23.238964718019005</v>
      </c>
      <c r="E31" s="8">
        <v>147.58046368652779</v>
      </c>
      <c r="F31" s="9">
        <v>486758.27734387567</v>
      </c>
      <c r="G31" s="10">
        <v>1</v>
      </c>
      <c r="H31" s="9">
        <v>620000</v>
      </c>
      <c r="I31" s="10">
        <v>1</v>
      </c>
      <c r="J31" s="9">
        <v>620000</v>
      </c>
      <c r="K31" s="9">
        <v>49770.548543747529</v>
      </c>
      <c r="L31" s="10">
        <v>6</v>
      </c>
      <c r="M31" s="10">
        <v>0</v>
      </c>
      <c r="N31" s="9">
        <v>0</v>
      </c>
      <c r="O31" s="9">
        <f t="shared" si="0"/>
        <v>15500</v>
      </c>
      <c r="P31" s="9">
        <f t="shared" si="1"/>
        <v>12400</v>
      </c>
      <c r="Q31" s="11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ht="15.75" customHeight="1" x14ac:dyDescent="0.25">
      <c r="A32" s="3" t="s">
        <v>58</v>
      </c>
      <c r="B32" s="7">
        <v>43770</v>
      </c>
      <c r="C32" s="3" t="s">
        <v>36</v>
      </c>
      <c r="D32" s="8">
        <v>35.461113988145208</v>
      </c>
      <c r="E32" s="8">
        <v>291.62574675932979</v>
      </c>
      <c r="F32" s="9">
        <v>211501.02699081769</v>
      </c>
      <c r="G32" s="10">
        <v>-1</v>
      </c>
      <c r="H32" s="9">
        <v>140000</v>
      </c>
      <c r="I32" s="10">
        <v>0</v>
      </c>
      <c r="J32" s="9">
        <v>0</v>
      </c>
      <c r="K32" s="9">
        <v>0</v>
      </c>
      <c r="L32" s="10">
        <v>0</v>
      </c>
      <c r="M32" s="10">
        <v>0</v>
      </c>
      <c r="N32" s="9">
        <v>0</v>
      </c>
      <c r="O32" s="9">
        <f t="shared" si="0"/>
        <v>0</v>
      </c>
      <c r="P32" s="9">
        <f t="shared" si="1"/>
        <v>0</v>
      </c>
      <c r="Q32" s="11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ht="15.75" customHeight="1" x14ac:dyDescent="0.25">
      <c r="A33" s="3" t="s">
        <v>59</v>
      </c>
      <c r="B33" s="7">
        <v>43770</v>
      </c>
      <c r="C33" s="3" t="s">
        <v>36</v>
      </c>
      <c r="D33" s="8">
        <v>12.612795836482881</v>
      </c>
      <c r="E33" s="8">
        <v>206.58894979656955</v>
      </c>
      <c r="F33" s="9">
        <v>20785.992984435998</v>
      </c>
      <c r="G33" s="10">
        <v>0</v>
      </c>
      <c r="H33" s="9">
        <v>30000</v>
      </c>
      <c r="I33" s="10">
        <v>1</v>
      </c>
      <c r="J33" s="9">
        <v>30000</v>
      </c>
      <c r="K33" s="9">
        <v>1114.0012320289256</v>
      </c>
      <c r="L33" s="10">
        <v>6</v>
      </c>
      <c r="M33" s="10">
        <v>0</v>
      </c>
      <c r="N33" s="9">
        <v>0</v>
      </c>
      <c r="O33" s="9">
        <f t="shared" si="0"/>
        <v>750</v>
      </c>
      <c r="P33" s="9">
        <f t="shared" si="1"/>
        <v>600</v>
      </c>
      <c r="Q33" s="11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ht="15.75" customHeight="1" x14ac:dyDescent="0.25">
      <c r="A34" s="3" t="s">
        <v>60</v>
      </c>
      <c r="B34" s="7">
        <v>43770</v>
      </c>
      <c r="C34" s="3" t="s">
        <v>36</v>
      </c>
      <c r="D34" s="8">
        <v>16.930266772446831</v>
      </c>
      <c r="E34" s="8">
        <v>359.80262401390672</v>
      </c>
      <c r="F34" s="9">
        <v>152928.70081701659</v>
      </c>
      <c r="G34" s="10">
        <v>-1</v>
      </c>
      <c r="H34" s="9">
        <v>100000</v>
      </c>
      <c r="I34" s="10">
        <v>1</v>
      </c>
      <c r="J34" s="9">
        <v>100000</v>
      </c>
      <c r="K34" s="9">
        <v>8471.4564152324638</v>
      </c>
      <c r="L34" s="10">
        <v>6</v>
      </c>
      <c r="M34" s="10">
        <v>0</v>
      </c>
      <c r="N34" s="9">
        <v>0</v>
      </c>
      <c r="O34" s="9">
        <f t="shared" si="0"/>
        <v>2500</v>
      </c>
      <c r="P34" s="9">
        <f t="shared" si="1"/>
        <v>2000</v>
      </c>
      <c r="Q34" s="11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ht="15.75" customHeight="1" x14ac:dyDescent="0.25">
      <c r="A35" s="3" t="s">
        <v>61</v>
      </c>
      <c r="B35" s="7">
        <v>43770</v>
      </c>
      <c r="C35" s="3" t="s">
        <v>36</v>
      </c>
      <c r="D35" s="8">
        <v>64.276326132152661</v>
      </c>
      <c r="E35" s="8">
        <v>228.99821429657686</v>
      </c>
      <c r="F35" s="9">
        <v>41324.143806973334</v>
      </c>
      <c r="G35" s="10">
        <v>1</v>
      </c>
      <c r="H35" s="9">
        <v>50000</v>
      </c>
      <c r="I35" s="10">
        <v>1</v>
      </c>
      <c r="J35" s="9">
        <v>50000</v>
      </c>
      <c r="K35" s="9">
        <v>6665.9902600357982</v>
      </c>
      <c r="L35" s="10">
        <v>6</v>
      </c>
      <c r="M35" s="10">
        <v>0</v>
      </c>
      <c r="N35" s="9">
        <v>0</v>
      </c>
      <c r="O35" s="9">
        <f t="shared" si="0"/>
        <v>1250</v>
      </c>
      <c r="P35" s="9">
        <f t="shared" si="1"/>
        <v>1000</v>
      </c>
      <c r="Q35" s="11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ht="15.75" customHeight="1" x14ac:dyDescent="0.25">
      <c r="A36" s="3" t="s">
        <v>62</v>
      </c>
      <c r="B36" s="7">
        <v>43770</v>
      </c>
      <c r="C36" s="3" t="s">
        <v>63</v>
      </c>
      <c r="D36" s="8">
        <v>135.68989485429478</v>
      </c>
      <c r="E36" s="8">
        <v>197.77964192752285</v>
      </c>
      <c r="F36" s="9">
        <v>57254.638972854111</v>
      </c>
      <c r="G36" s="10">
        <v>-1</v>
      </c>
      <c r="H36" s="9">
        <v>40000</v>
      </c>
      <c r="I36" s="10">
        <v>0</v>
      </c>
      <c r="J36" s="9">
        <v>0</v>
      </c>
      <c r="K36" s="9">
        <v>0</v>
      </c>
      <c r="L36" s="10">
        <v>0</v>
      </c>
      <c r="M36" s="10">
        <v>0</v>
      </c>
      <c r="N36" s="9">
        <v>0</v>
      </c>
      <c r="O36" s="9">
        <f t="shared" si="0"/>
        <v>0</v>
      </c>
      <c r="P36" s="9">
        <f t="shared" si="1"/>
        <v>0</v>
      </c>
      <c r="Q36" s="11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ht="15.75" customHeight="1" x14ac:dyDescent="0.25">
      <c r="A37" s="3" t="s">
        <v>40</v>
      </c>
      <c r="B37" s="7">
        <v>43831</v>
      </c>
      <c r="C37" s="3" t="s">
        <v>39</v>
      </c>
      <c r="D37" s="8">
        <v>33.60483753641018</v>
      </c>
      <c r="E37" s="8">
        <v>166.37883815322388</v>
      </c>
      <c r="F37" s="9">
        <v>29908.508250518335</v>
      </c>
      <c r="G37" s="10">
        <v>1</v>
      </c>
      <c r="H37" s="9">
        <v>50000</v>
      </c>
      <c r="I37" s="10">
        <v>0</v>
      </c>
      <c r="J37" s="9">
        <v>0</v>
      </c>
      <c r="K37" s="9">
        <v>0</v>
      </c>
      <c r="L37" s="10">
        <v>0</v>
      </c>
      <c r="M37" s="10">
        <v>0</v>
      </c>
      <c r="N37" s="9">
        <v>0</v>
      </c>
      <c r="O37" s="9">
        <f t="shared" si="0"/>
        <v>0</v>
      </c>
      <c r="P37" s="9">
        <f t="shared" si="1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ht="15.75" customHeight="1" x14ac:dyDescent="0.25">
      <c r="A38" s="3" t="s">
        <v>64</v>
      </c>
      <c r="B38" s="7">
        <v>43831</v>
      </c>
      <c r="C38" s="3" t="s">
        <v>39</v>
      </c>
      <c r="D38" s="8">
        <v>30.481001761401451</v>
      </c>
      <c r="E38" s="8">
        <v>181.20479213243181</v>
      </c>
      <c r="F38" s="9">
        <v>138077.98889835339</v>
      </c>
      <c r="G38" s="10">
        <v>0</v>
      </c>
      <c r="H38" s="9">
        <v>90000</v>
      </c>
      <c r="I38" s="10">
        <v>1</v>
      </c>
      <c r="J38" s="9">
        <v>90000</v>
      </c>
      <c r="K38" s="9">
        <v>16233.46094272452</v>
      </c>
      <c r="L38" s="10">
        <v>6</v>
      </c>
      <c r="M38" s="10">
        <v>0</v>
      </c>
      <c r="N38" s="9">
        <v>0</v>
      </c>
      <c r="O38" s="9">
        <f t="shared" si="0"/>
        <v>2250</v>
      </c>
      <c r="P38" s="9">
        <f t="shared" si="1"/>
        <v>1800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ht="15.75" customHeight="1" x14ac:dyDescent="0.25">
      <c r="A39" s="3" t="s">
        <v>65</v>
      </c>
      <c r="B39" s="7">
        <v>43831</v>
      </c>
      <c r="C39" s="3" t="s">
        <v>36</v>
      </c>
      <c r="D39" s="8">
        <v>16.627884224397292</v>
      </c>
      <c r="E39" s="8">
        <v>243.20040367819357</v>
      </c>
      <c r="F39" s="9">
        <v>563314.18817996338</v>
      </c>
      <c r="G39" s="10">
        <v>0</v>
      </c>
      <c r="H39" s="9">
        <v>490000</v>
      </c>
      <c r="I39" s="10">
        <v>1</v>
      </c>
      <c r="J39" s="9">
        <v>490000</v>
      </c>
      <c r="K39" s="9">
        <v>34235.135171892318</v>
      </c>
      <c r="L39" s="10">
        <v>6</v>
      </c>
      <c r="M39" s="10">
        <v>0</v>
      </c>
      <c r="N39" s="9">
        <v>0</v>
      </c>
      <c r="O39" s="9">
        <f t="shared" si="0"/>
        <v>12250</v>
      </c>
      <c r="P39" s="9">
        <f t="shared" si="1"/>
        <v>9800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ht="15.75" customHeight="1" x14ac:dyDescent="0.25">
      <c r="A40" s="3" t="s">
        <v>58</v>
      </c>
      <c r="B40" s="7">
        <v>43831</v>
      </c>
      <c r="C40" s="3" t="s">
        <v>36</v>
      </c>
      <c r="D40" s="8">
        <v>36.419227412611832</v>
      </c>
      <c r="E40" s="8">
        <v>311.72493886905295</v>
      </c>
      <c r="F40" s="9">
        <v>275848.60865317186</v>
      </c>
      <c r="G40" s="10">
        <v>-1</v>
      </c>
      <c r="H40" s="9">
        <v>180000</v>
      </c>
      <c r="I40" s="10">
        <v>0</v>
      </c>
      <c r="J40" s="9">
        <v>0</v>
      </c>
      <c r="K40" s="9">
        <v>0</v>
      </c>
      <c r="L40" s="10">
        <v>0</v>
      </c>
      <c r="M40" s="10">
        <v>0</v>
      </c>
      <c r="N40" s="9">
        <v>0</v>
      </c>
      <c r="O40" s="9">
        <f t="shared" si="0"/>
        <v>0</v>
      </c>
      <c r="P40" s="9">
        <f t="shared" si="1"/>
        <v>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ht="15.75" customHeight="1" x14ac:dyDescent="0.25">
      <c r="A41" s="3" t="s">
        <v>44</v>
      </c>
      <c r="B41" s="7">
        <v>43831</v>
      </c>
      <c r="C41" s="3" t="s">
        <v>36</v>
      </c>
      <c r="D41" s="8">
        <v>107.33158140231116</v>
      </c>
      <c r="E41" s="8">
        <v>178.30001784973899</v>
      </c>
      <c r="F41" s="9">
        <v>31552.624417714065</v>
      </c>
      <c r="G41" s="10">
        <v>1</v>
      </c>
      <c r="H41" s="9">
        <v>30000</v>
      </c>
      <c r="I41" s="10">
        <v>1</v>
      </c>
      <c r="J41" s="9">
        <v>30000</v>
      </c>
      <c r="K41" s="9">
        <v>3511.964741657388</v>
      </c>
      <c r="L41" s="10">
        <v>6</v>
      </c>
      <c r="M41" s="10">
        <v>0</v>
      </c>
      <c r="N41" s="9">
        <v>0</v>
      </c>
      <c r="O41" s="9">
        <f t="shared" si="0"/>
        <v>750</v>
      </c>
      <c r="P41" s="9">
        <f t="shared" si="1"/>
        <v>600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ht="15.75" customHeight="1" x14ac:dyDescent="0.25">
      <c r="A42" s="3" t="s">
        <v>66</v>
      </c>
      <c r="B42" s="7">
        <v>43831</v>
      </c>
      <c r="C42" s="3" t="s">
        <v>36</v>
      </c>
      <c r="D42" s="8">
        <v>80.185291670682943</v>
      </c>
      <c r="E42" s="8">
        <v>149.40696311364297</v>
      </c>
      <c r="F42" s="9">
        <v>73449.457794940608</v>
      </c>
      <c r="G42" s="10">
        <v>0</v>
      </c>
      <c r="H42" s="9">
        <v>50000</v>
      </c>
      <c r="I42" s="10">
        <v>1</v>
      </c>
      <c r="J42" s="9">
        <v>50000</v>
      </c>
      <c r="K42" s="9">
        <v>3357.3584607907528</v>
      </c>
      <c r="L42" s="10">
        <v>6</v>
      </c>
      <c r="M42" s="10">
        <v>0</v>
      </c>
      <c r="N42" s="9">
        <v>0</v>
      </c>
      <c r="O42" s="9">
        <f t="shared" si="0"/>
        <v>1250</v>
      </c>
      <c r="P42" s="9">
        <f t="shared" si="1"/>
        <v>1000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ht="15.75" customHeight="1" x14ac:dyDescent="0.25">
      <c r="A43" s="3" t="s">
        <v>67</v>
      </c>
      <c r="B43" s="7">
        <v>43831</v>
      </c>
      <c r="C43" s="3" t="s">
        <v>36</v>
      </c>
      <c r="D43" s="8">
        <v>18.772183567040717</v>
      </c>
      <c r="E43" s="8">
        <v>206.03529729965592</v>
      </c>
      <c r="F43" s="9">
        <v>543808.38072872104</v>
      </c>
      <c r="G43" s="10">
        <v>1</v>
      </c>
      <c r="H43" s="9">
        <v>530000</v>
      </c>
      <c r="I43" s="10">
        <v>0</v>
      </c>
      <c r="J43" s="9">
        <v>0</v>
      </c>
      <c r="K43" s="9">
        <v>0</v>
      </c>
      <c r="L43" s="10">
        <v>0</v>
      </c>
      <c r="M43" s="10">
        <v>0</v>
      </c>
      <c r="N43" s="9">
        <v>0</v>
      </c>
      <c r="O43" s="9">
        <f t="shared" si="0"/>
        <v>0</v>
      </c>
      <c r="P43" s="9">
        <f t="shared" si="1"/>
        <v>0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ht="15.75" customHeight="1" x14ac:dyDescent="0.25">
      <c r="A44" s="3" t="s">
        <v>68</v>
      </c>
      <c r="B44" s="7">
        <v>43831</v>
      </c>
      <c r="C44" s="3" t="s">
        <v>39</v>
      </c>
      <c r="D44" s="8">
        <v>43.890655007530384</v>
      </c>
      <c r="E44" s="8">
        <v>260.72286276107911</v>
      </c>
      <c r="F44" s="9">
        <v>527566.19894928928</v>
      </c>
      <c r="G44" s="10">
        <v>0</v>
      </c>
      <c r="H44" s="9">
        <v>360000</v>
      </c>
      <c r="I44" s="10">
        <v>1</v>
      </c>
      <c r="J44" s="9">
        <v>360000</v>
      </c>
      <c r="K44" s="9">
        <v>28194.269348607337</v>
      </c>
      <c r="L44" s="10">
        <v>6</v>
      </c>
      <c r="M44" s="10">
        <v>0</v>
      </c>
      <c r="N44" s="9">
        <v>0</v>
      </c>
      <c r="O44" s="9">
        <f t="shared" si="0"/>
        <v>9000</v>
      </c>
      <c r="P44" s="9">
        <f t="shared" si="1"/>
        <v>7200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ht="15.75" customHeight="1" x14ac:dyDescent="0.25">
      <c r="A45" s="3" t="s">
        <v>69</v>
      </c>
      <c r="B45" s="7">
        <v>43831</v>
      </c>
      <c r="C45" s="3" t="s">
        <v>36</v>
      </c>
      <c r="D45" s="8">
        <v>25.598340649153208</v>
      </c>
      <c r="E45" s="8">
        <v>313.37627507211454</v>
      </c>
      <c r="F45" s="9">
        <v>366407.94396808743</v>
      </c>
      <c r="G45" s="10">
        <v>-1</v>
      </c>
      <c r="H45" s="9">
        <v>251000</v>
      </c>
      <c r="I45" s="10">
        <v>1</v>
      </c>
      <c r="J45" s="9">
        <v>251000</v>
      </c>
      <c r="K45" s="9">
        <v>18650.406739046535</v>
      </c>
      <c r="L45" s="10">
        <v>6</v>
      </c>
      <c r="M45" s="10">
        <v>0</v>
      </c>
      <c r="N45" s="9">
        <v>0</v>
      </c>
      <c r="O45" s="9">
        <f t="shared" si="0"/>
        <v>6275</v>
      </c>
      <c r="P45" s="9">
        <f t="shared" si="1"/>
        <v>5020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ht="15.75" customHeight="1" x14ac:dyDescent="0.25">
      <c r="A46" s="3" t="s">
        <v>70</v>
      </c>
      <c r="B46" s="7">
        <v>43831</v>
      </c>
      <c r="C46" s="3" t="s">
        <v>36</v>
      </c>
      <c r="D46" s="8">
        <v>105.58975437638938</v>
      </c>
      <c r="E46" s="8">
        <v>213.73088014460197</v>
      </c>
      <c r="F46" s="9">
        <v>88218.370334755775</v>
      </c>
      <c r="G46" s="10">
        <v>0</v>
      </c>
      <c r="H46" s="9">
        <v>70000</v>
      </c>
      <c r="I46" s="10">
        <v>1</v>
      </c>
      <c r="J46" s="9">
        <v>70000</v>
      </c>
      <c r="K46" s="9">
        <v>4802.9632879970568</v>
      </c>
      <c r="L46" s="10">
        <v>6</v>
      </c>
      <c r="M46" s="10">
        <v>0</v>
      </c>
      <c r="N46" s="9">
        <v>0</v>
      </c>
      <c r="O46" s="9">
        <f t="shared" si="0"/>
        <v>1750</v>
      </c>
      <c r="P46" s="9">
        <f t="shared" si="1"/>
        <v>1400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ht="15.75" customHeight="1" x14ac:dyDescent="0.25">
      <c r="A47" s="3" t="s">
        <v>71</v>
      </c>
      <c r="B47" s="7">
        <v>43831</v>
      </c>
      <c r="C47" s="3" t="s">
        <v>36</v>
      </c>
      <c r="D47" s="8">
        <v>85.728381182805975</v>
      </c>
      <c r="E47" s="8">
        <v>200.4191040756796</v>
      </c>
      <c r="F47" s="9">
        <v>115496.56829510411</v>
      </c>
      <c r="G47" s="10">
        <v>0</v>
      </c>
      <c r="H47" s="9">
        <v>80000</v>
      </c>
      <c r="I47" s="10">
        <v>0</v>
      </c>
      <c r="J47" s="9">
        <v>0</v>
      </c>
      <c r="K47" s="9">
        <v>0</v>
      </c>
      <c r="L47" s="10">
        <v>0</v>
      </c>
      <c r="M47" s="10">
        <v>0</v>
      </c>
      <c r="N47" s="9">
        <v>0</v>
      </c>
      <c r="O47" s="9">
        <f t="shared" si="0"/>
        <v>0</v>
      </c>
      <c r="P47" s="9">
        <f t="shared" si="1"/>
        <v>0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ht="15.75" customHeight="1" x14ac:dyDescent="0.25">
      <c r="A48" s="3" t="s">
        <v>72</v>
      </c>
      <c r="B48" s="7">
        <v>43831</v>
      </c>
      <c r="C48" s="3" t="s">
        <v>36</v>
      </c>
      <c r="D48" s="8">
        <v>25.262971699110111</v>
      </c>
      <c r="E48" s="8">
        <v>216.30561058309848</v>
      </c>
      <c r="F48" s="9">
        <v>151810.42500653112</v>
      </c>
      <c r="G48" s="10">
        <v>1</v>
      </c>
      <c r="H48" s="9">
        <v>120000</v>
      </c>
      <c r="I48" s="10">
        <v>1</v>
      </c>
      <c r="J48" s="9">
        <v>120000</v>
      </c>
      <c r="K48" s="9">
        <v>11677.129466487151</v>
      </c>
      <c r="L48" s="10">
        <v>6</v>
      </c>
      <c r="M48" s="10">
        <v>0</v>
      </c>
      <c r="N48" s="9">
        <v>0</v>
      </c>
      <c r="O48" s="9">
        <f t="shared" si="0"/>
        <v>3000</v>
      </c>
      <c r="P48" s="9">
        <f t="shared" si="1"/>
        <v>2400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ht="15.75" customHeight="1" x14ac:dyDescent="0.25">
      <c r="A49" s="3" t="s">
        <v>73</v>
      </c>
      <c r="B49" s="7">
        <v>43862</v>
      </c>
      <c r="C49" s="3" t="s">
        <v>39</v>
      </c>
      <c r="D49" s="8">
        <v>128.49577230290052</v>
      </c>
      <c r="E49" s="8">
        <v>177.78167099552326</v>
      </c>
      <c r="F49" s="9">
        <v>141840.15157241563</v>
      </c>
      <c r="G49" s="10">
        <v>0</v>
      </c>
      <c r="H49" s="9">
        <v>90000</v>
      </c>
      <c r="I49" s="10">
        <v>1</v>
      </c>
      <c r="J49" s="9">
        <v>90000</v>
      </c>
      <c r="K49" s="9">
        <v>7982.2510504620477</v>
      </c>
      <c r="L49" s="10">
        <v>6</v>
      </c>
      <c r="M49" s="10">
        <v>0</v>
      </c>
      <c r="N49" s="9">
        <v>0</v>
      </c>
      <c r="O49" s="9">
        <f t="shared" si="0"/>
        <v>2250</v>
      </c>
      <c r="P49" s="9">
        <f t="shared" si="1"/>
        <v>1800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ht="15.75" customHeight="1" x14ac:dyDescent="0.25">
      <c r="A50" s="3" t="s">
        <v>72</v>
      </c>
      <c r="B50" s="7">
        <v>43862</v>
      </c>
      <c r="C50" s="3" t="s">
        <v>36</v>
      </c>
      <c r="D50" s="8">
        <v>26.334542636048234</v>
      </c>
      <c r="E50" s="8">
        <v>130.49854740982428</v>
      </c>
      <c r="F50" s="9">
        <v>21974.548839352265</v>
      </c>
      <c r="G50" s="10">
        <v>0</v>
      </c>
      <c r="H50" s="9">
        <v>30000</v>
      </c>
      <c r="I50" s="10">
        <v>1</v>
      </c>
      <c r="J50" s="9">
        <v>30000</v>
      </c>
      <c r="K50" s="9">
        <v>2821.2055787614372</v>
      </c>
      <c r="L50" s="10">
        <v>6</v>
      </c>
      <c r="M50" s="10">
        <v>0</v>
      </c>
      <c r="N50" s="9">
        <v>0</v>
      </c>
      <c r="O50" s="9">
        <f t="shared" si="0"/>
        <v>750</v>
      </c>
      <c r="P50" s="9">
        <f t="shared" si="1"/>
        <v>600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ht="15.75" customHeight="1" x14ac:dyDescent="0.25">
      <c r="A51" s="3" t="s">
        <v>52</v>
      </c>
      <c r="B51" s="7">
        <v>43862</v>
      </c>
      <c r="C51" s="3" t="s">
        <v>39</v>
      </c>
      <c r="D51" s="8">
        <v>35.945589161399937</v>
      </c>
      <c r="E51" s="8">
        <v>106.40628211460036</v>
      </c>
      <c r="F51" s="9">
        <v>82961.131780699172</v>
      </c>
      <c r="G51" s="10">
        <v>0</v>
      </c>
      <c r="H51" s="9">
        <v>110000</v>
      </c>
      <c r="I51" s="10">
        <v>1</v>
      </c>
      <c r="J51" s="9">
        <v>110000</v>
      </c>
      <c r="K51" s="9">
        <v>14746.011217491006</v>
      </c>
      <c r="L51" s="10">
        <v>6</v>
      </c>
      <c r="M51" s="10">
        <v>0</v>
      </c>
      <c r="N51" s="9">
        <v>0</v>
      </c>
      <c r="O51" s="9">
        <f t="shared" si="0"/>
        <v>2750</v>
      </c>
      <c r="P51" s="9">
        <f t="shared" si="1"/>
        <v>2200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ht="15.75" customHeight="1" x14ac:dyDescent="0.25">
      <c r="A52" s="3" t="s">
        <v>74</v>
      </c>
      <c r="B52" s="7">
        <v>43862</v>
      </c>
      <c r="C52" s="3" t="s">
        <v>36</v>
      </c>
      <c r="D52" s="8">
        <v>58.736581667504424</v>
      </c>
      <c r="E52" s="8">
        <v>165.16576810167862</v>
      </c>
      <c r="F52" s="9">
        <v>399861.60146066488</v>
      </c>
      <c r="G52" s="10">
        <v>0</v>
      </c>
      <c r="H52" s="9">
        <v>330000</v>
      </c>
      <c r="I52" s="10">
        <v>0</v>
      </c>
      <c r="J52" s="9">
        <v>0</v>
      </c>
      <c r="K52" s="9">
        <v>0</v>
      </c>
      <c r="L52" s="10">
        <v>0</v>
      </c>
      <c r="M52" s="10">
        <v>0</v>
      </c>
      <c r="N52" s="9">
        <v>0</v>
      </c>
      <c r="O52" s="9">
        <f t="shared" si="0"/>
        <v>0</v>
      </c>
      <c r="P52" s="9">
        <f t="shared" si="1"/>
        <v>0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ht="13.2" x14ac:dyDescent="0.25">
      <c r="A53" s="3" t="s">
        <v>75</v>
      </c>
      <c r="B53" s="7">
        <v>43862</v>
      </c>
      <c r="C53" s="3" t="s">
        <v>36</v>
      </c>
      <c r="D53" s="8">
        <v>20.980739560138812</v>
      </c>
      <c r="E53" s="8">
        <v>242.35900495223893</v>
      </c>
      <c r="F53" s="9">
        <v>72838.755471537617</v>
      </c>
      <c r="G53" s="10">
        <v>1</v>
      </c>
      <c r="H53" s="9">
        <v>60000</v>
      </c>
      <c r="I53" s="10">
        <v>0</v>
      </c>
      <c r="J53" s="9">
        <v>0</v>
      </c>
      <c r="K53" s="9">
        <v>0</v>
      </c>
      <c r="L53" s="10">
        <v>0</v>
      </c>
      <c r="M53" s="10">
        <v>0</v>
      </c>
      <c r="N53" s="9">
        <v>0</v>
      </c>
      <c r="O53" s="9">
        <f t="shared" si="0"/>
        <v>0</v>
      </c>
      <c r="P53" s="9">
        <f t="shared" si="1"/>
        <v>0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ht="13.2" x14ac:dyDescent="0.25">
      <c r="A54" s="3" t="s">
        <v>76</v>
      </c>
      <c r="B54" s="7">
        <v>43862</v>
      </c>
      <c r="C54" s="3" t="s">
        <v>39</v>
      </c>
      <c r="D54" s="8">
        <v>43.62475322181804</v>
      </c>
      <c r="E54" s="8">
        <v>132.5730825808993</v>
      </c>
      <c r="F54" s="9">
        <v>228232.49282907209</v>
      </c>
      <c r="G54" s="10">
        <v>0</v>
      </c>
      <c r="H54" s="9">
        <v>200000</v>
      </c>
      <c r="I54" s="10">
        <v>0</v>
      </c>
      <c r="J54" s="9">
        <v>0</v>
      </c>
      <c r="K54" s="9">
        <v>0</v>
      </c>
      <c r="L54" s="10">
        <v>0</v>
      </c>
      <c r="M54" s="10">
        <v>0</v>
      </c>
      <c r="N54" s="9">
        <v>0</v>
      </c>
      <c r="O54" s="9">
        <f t="shared" si="0"/>
        <v>0</v>
      </c>
      <c r="P54" s="9">
        <f t="shared" si="1"/>
        <v>0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ht="13.2" x14ac:dyDescent="0.25">
      <c r="A55" s="3" t="s">
        <v>51</v>
      </c>
      <c r="B55" s="7">
        <v>43862</v>
      </c>
      <c r="C55" s="3" t="s">
        <v>36</v>
      </c>
      <c r="D55" s="8">
        <v>59.314233467065989</v>
      </c>
      <c r="E55" s="8">
        <v>264.91340252130158</v>
      </c>
      <c r="F55" s="9">
        <v>104434.14283751328</v>
      </c>
      <c r="G55" s="10">
        <v>0</v>
      </c>
      <c r="H55" s="9">
        <v>70000</v>
      </c>
      <c r="I55" s="10">
        <v>1</v>
      </c>
      <c r="J55" s="9">
        <v>70000</v>
      </c>
      <c r="K55" s="9">
        <v>1206.3108608147779</v>
      </c>
      <c r="L55" s="10">
        <v>6</v>
      </c>
      <c r="M55" s="10">
        <v>0</v>
      </c>
      <c r="N55" s="9">
        <v>0</v>
      </c>
      <c r="O55" s="9">
        <f t="shared" si="0"/>
        <v>1750</v>
      </c>
      <c r="P55" s="9">
        <f t="shared" si="1"/>
        <v>1400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ht="13.2" x14ac:dyDescent="0.25">
      <c r="A56" s="3" t="s">
        <v>77</v>
      </c>
      <c r="B56" s="7">
        <v>43862</v>
      </c>
      <c r="C56" s="3" t="s">
        <v>39</v>
      </c>
      <c r="D56" s="8">
        <v>74.735371770087085</v>
      </c>
      <c r="E56" s="8">
        <v>121.19537759694309</v>
      </c>
      <c r="F56" s="9">
        <v>1581013.8306515394</v>
      </c>
      <c r="G56" s="10">
        <v>1</v>
      </c>
      <c r="H56" s="9">
        <v>1510000</v>
      </c>
      <c r="I56" s="10">
        <v>0</v>
      </c>
      <c r="J56" s="9">
        <v>0</v>
      </c>
      <c r="K56" s="9">
        <v>0</v>
      </c>
      <c r="L56" s="10">
        <v>0</v>
      </c>
      <c r="M56" s="10">
        <v>0</v>
      </c>
      <c r="N56" s="9">
        <v>0</v>
      </c>
      <c r="O56" s="9">
        <f t="shared" si="0"/>
        <v>0</v>
      </c>
      <c r="P56" s="9">
        <f t="shared" si="1"/>
        <v>0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ht="13.2" x14ac:dyDescent="0.25">
      <c r="A57" s="3" t="s">
        <v>78</v>
      </c>
      <c r="B57" s="7">
        <v>43862</v>
      </c>
      <c r="C57" s="3" t="s">
        <v>36</v>
      </c>
      <c r="D57" s="8">
        <v>54.399154454433955</v>
      </c>
      <c r="E57" s="8">
        <v>190.0451375338331</v>
      </c>
      <c r="F57" s="9">
        <v>92056.238966555509</v>
      </c>
      <c r="G57" s="10">
        <v>-1</v>
      </c>
      <c r="H57" s="9">
        <v>60000</v>
      </c>
      <c r="I57" s="10">
        <v>0</v>
      </c>
      <c r="J57" s="9">
        <v>0</v>
      </c>
      <c r="K57" s="9">
        <v>0</v>
      </c>
      <c r="L57" s="10">
        <v>0</v>
      </c>
      <c r="M57" s="10">
        <v>0</v>
      </c>
      <c r="N57" s="9">
        <v>0</v>
      </c>
      <c r="O57" s="9">
        <f t="shared" si="0"/>
        <v>0</v>
      </c>
      <c r="P57" s="9">
        <f t="shared" si="1"/>
        <v>0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ht="13.2" x14ac:dyDescent="0.25">
      <c r="A58" s="3" t="s">
        <v>79</v>
      </c>
      <c r="B58" s="7">
        <v>43862</v>
      </c>
      <c r="C58" s="3" t="s">
        <v>36</v>
      </c>
      <c r="D58" s="8">
        <v>11.748688385525583</v>
      </c>
      <c r="E58" s="8">
        <v>347.35303554100278</v>
      </c>
      <c r="F58" s="9">
        <v>121344.56917611031</v>
      </c>
      <c r="G58" s="10">
        <v>1</v>
      </c>
      <c r="H58" s="9">
        <v>150000</v>
      </c>
      <c r="I58" s="10">
        <v>1</v>
      </c>
      <c r="J58" s="9">
        <v>150000</v>
      </c>
      <c r="K58" s="9">
        <v>13531.231932517474</v>
      </c>
      <c r="L58" s="10">
        <v>6</v>
      </c>
      <c r="M58" s="10">
        <v>1</v>
      </c>
      <c r="N58" s="9">
        <v>128664</v>
      </c>
      <c r="O58" s="9">
        <f t="shared" si="0"/>
        <v>3750</v>
      </c>
      <c r="P58" s="9">
        <f t="shared" si="1"/>
        <v>3000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ht="13.2" x14ac:dyDescent="0.25">
      <c r="A59" s="3" t="s">
        <v>80</v>
      </c>
      <c r="B59" s="7">
        <v>43862</v>
      </c>
      <c r="C59" s="3" t="s">
        <v>36</v>
      </c>
      <c r="D59" s="8">
        <v>24.461940233022819</v>
      </c>
      <c r="E59" s="8">
        <v>243.77289474772442</v>
      </c>
      <c r="F59" s="9">
        <v>549936.95244390494</v>
      </c>
      <c r="G59" s="10">
        <v>1</v>
      </c>
      <c r="H59" s="9">
        <v>360000</v>
      </c>
      <c r="I59" s="10">
        <v>1</v>
      </c>
      <c r="J59" s="9">
        <v>360000</v>
      </c>
      <c r="K59" s="9">
        <v>34577.709839046242</v>
      </c>
      <c r="L59" s="10">
        <v>6</v>
      </c>
      <c r="M59" s="10">
        <v>0</v>
      </c>
      <c r="N59" s="9">
        <v>0</v>
      </c>
      <c r="O59" s="9">
        <f t="shared" si="0"/>
        <v>9000</v>
      </c>
      <c r="P59" s="9">
        <f t="shared" si="1"/>
        <v>7200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ht="13.2" x14ac:dyDescent="0.25">
      <c r="A60" s="3" t="s">
        <v>45</v>
      </c>
      <c r="B60" s="7">
        <v>43862</v>
      </c>
      <c r="C60" s="3" t="s">
        <v>36</v>
      </c>
      <c r="D60" s="8">
        <v>38.079182084108574</v>
      </c>
      <c r="E60" s="8">
        <v>230.08394203636564</v>
      </c>
      <c r="F60" s="9">
        <v>79201.262815257607</v>
      </c>
      <c r="G60" s="10">
        <v>-1</v>
      </c>
      <c r="H60" s="9">
        <v>50000</v>
      </c>
      <c r="I60" s="10">
        <v>1</v>
      </c>
      <c r="J60" s="9">
        <v>50000</v>
      </c>
      <c r="K60" s="9">
        <v>6746.8296614539413</v>
      </c>
      <c r="L60" s="10">
        <v>7</v>
      </c>
      <c r="M60" s="10">
        <v>0</v>
      </c>
      <c r="N60" s="9">
        <v>0</v>
      </c>
      <c r="O60" s="9">
        <f t="shared" si="0"/>
        <v>1250</v>
      </c>
      <c r="P60" s="9">
        <f t="shared" si="1"/>
        <v>1000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ht="13.2" x14ac:dyDescent="0.25">
      <c r="A61" s="3" t="s">
        <v>81</v>
      </c>
      <c r="B61" s="7">
        <v>43862</v>
      </c>
      <c r="C61" s="3" t="s">
        <v>39</v>
      </c>
      <c r="D61" s="8">
        <v>31.77114904297088</v>
      </c>
      <c r="E61" s="8">
        <v>190.66249552707737</v>
      </c>
      <c r="F61" s="9">
        <v>51764.415719795339</v>
      </c>
      <c r="G61" s="10">
        <v>-1</v>
      </c>
      <c r="H61" s="9">
        <v>80000</v>
      </c>
      <c r="I61" s="10">
        <v>0</v>
      </c>
      <c r="J61" s="9">
        <v>0</v>
      </c>
      <c r="K61" s="9">
        <v>0</v>
      </c>
      <c r="L61" s="10">
        <v>0</v>
      </c>
      <c r="M61" s="10">
        <v>0</v>
      </c>
      <c r="N61" s="9">
        <v>0</v>
      </c>
      <c r="O61" s="9">
        <f t="shared" si="0"/>
        <v>0</v>
      </c>
      <c r="P61" s="9">
        <f t="shared" si="1"/>
        <v>0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ht="13.2" x14ac:dyDescent="0.25">
      <c r="A62" s="3" t="s">
        <v>67</v>
      </c>
      <c r="B62" s="7">
        <v>43891</v>
      </c>
      <c r="C62" s="3" t="s">
        <v>36</v>
      </c>
      <c r="D62" s="8">
        <v>19.5369925895554</v>
      </c>
      <c r="E62" s="8">
        <v>108.01694363963443</v>
      </c>
      <c r="F62" s="9">
        <v>424114.76657505962</v>
      </c>
      <c r="G62" s="10">
        <v>1</v>
      </c>
      <c r="H62" s="9">
        <v>690000</v>
      </c>
      <c r="I62" s="10">
        <v>1</v>
      </c>
      <c r="J62" s="9">
        <v>690000</v>
      </c>
      <c r="K62" s="9">
        <v>94592.297275325662</v>
      </c>
      <c r="L62" s="10">
        <v>6</v>
      </c>
      <c r="M62" s="10">
        <v>0</v>
      </c>
      <c r="N62" s="9">
        <v>0</v>
      </c>
      <c r="O62" s="9">
        <f t="shared" si="0"/>
        <v>17250</v>
      </c>
      <c r="P62" s="9">
        <f t="shared" si="1"/>
        <v>13800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ht="13.2" x14ac:dyDescent="0.25">
      <c r="A63" s="3" t="s">
        <v>82</v>
      </c>
      <c r="B63" s="7">
        <v>43891</v>
      </c>
      <c r="C63" s="3" t="s">
        <v>36</v>
      </c>
      <c r="D63" s="8">
        <v>119.87419511790266</v>
      </c>
      <c r="E63" s="8">
        <v>94.889861441111108</v>
      </c>
      <c r="F63" s="9">
        <v>36531.503021064018</v>
      </c>
      <c r="G63" s="10">
        <v>0</v>
      </c>
      <c r="H63" s="9">
        <v>30000</v>
      </c>
      <c r="I63" s="10">
        <v>0</v>
      </c>
      <c r="J63" s="9">
        <v>0</v>
      </c>
      <c r="K63" s="9">
        <v>0</v>
      </c>
      <c r="L63" s="10">
        <v>0</v>
      </c>
      <c r="M63" s="10">
        <v>0</v>
      </c>
      <c r="N63" s="9">
        <v>0</v>
      </c>
      <c r="O63" s="9">
        <f t="shared" si="0"/>
        <v>0</v>
      </c>
      <c r="P63" s="9">
        <f t="shared" si="1"/>
        <v>0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ht="13.2" x14ac:dyDescent="0.25">
      <c r="A64" s="3" t="s">
        <v>83</v>
      </c>
      <c r="B64" s="7">
        <v>43891</v>
      </c>
      <c r="C64" s="3" t="s">
        <v>36</v>
      </c>
      <c r="D64" s="8">
        <v>9.8584281295998348</v>
      </c>
      <c r="E64" s="8">
        <v>243.59674565204648</v>
      </c>
      <c r="F64" s="9">
        <v>97621.078013186183</v>
      </c>
      <c r="G64" s="10">
        <v>0</v>
      </c>
      <c r="H64" s="9">
        <v>80000</v>
      </c>
      <c r="I64" s="10">
        <v>0</v>
      </c>
      <c r="J64" s="9">
        <v>0</v>
      </c>
      <c r="K64" s="9">
        <v>0</v>
      </c>
      <c r="L64" s="10">
        <v>0</v>
      </c>
      <c r="M64" s="10">
        <v>0</v>
      </c>
      <c r="N64" s="9">
        <v>0</v>
      </c>
      <c r="O64" s="9">
        <f t="shared" si="0"/>
        <v>0</v>
      </c>
      <c r="P64" s="9">
        <f t="shared" si="1"/>
        <v>0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ht="13.2" x14ac:dyDescent="0.25">
      <c r="A65" s="3" t="s">
        <v>84</v>
      </c>
      <c r="B65" s="7">
        <v>43891</v>
      </c>
      <c r="C65" s="3" t="s">
        <v>39</v>
      </c>
      <c r="D65" s="8">
        <v>45.865465317704832</v>
      </c>
      <c r="E65" s="8">
        <v>263.03218020813279</v>
      </c>
      <c r="F65" s="9">
        <v>58234.045610295754</v>
      </c>
      <c r="G65" s="10">
        <v>0</v>
      </c>
      <c r="H65" s="9">
        <v>40000</v>
      </c>
      <c r="I65" s="10">
        <v>1</v>
      </c>
      <c r="J65" s="9">
        <v>40000</v>
      </c>
      <c r="K65" s="9">
        <v>1284.5556918485445</v>
      </c>
      <c r="L65" s="10">
        <v>6</v>
      </c>
      <c r="M65" s="10">
        <v>0</v>
      </c>
      <c r="N65" s="9">
        <v>0</v>
      </c>
      <c r="O65" s="9">
        <f t="shared" si="0"/>
        <v>1000</v>
      </c>
      <c r="P65" s="9">
        <f t="shared" si="1"/>
        <v>800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ht="13.2" x14ac:dyDescent="0.25">
      <c r="A66" s="3" t="s">
        <v>48</v>
      </c>
      <c r="B66" s="7">
        <v>43891</v>
      </c>
      <c r="C66" s="3" t="s">
        <v>36</v>
      </c>
      <c r="D66" s="8">
        <v>14.284276248857978</v>
      </c>
      <c r="E66" s="8">
        <v>205.18874170673172</v>
      </c>
      <c r="F66" s="9">
        <v>48964.920011208138</v>
      </c>
      <c r="G66" s="10">
        <v>0</v>
      </c>
      <c r="H66" s="9">
        <v>50000</v>
      </c>
      <c r="I66" s="10">
        <v>1</v>
      </c>
      <c r="J66" s="9">
        <v>50000</v>
      </c>
      <c r="K66" s="9">
        <v>5574.5921159235131</v>
      </c>
      <c r="L66" s="10">
        <v>6</v>
      </c>
      <c r="M66" s="10">
        <v>0</v>
      </c>
      <c r="N66" s="9">
        <v>0</v>
      </c>
      <c r="O66" s="9">
        <f t="shared" si="0"/>
        <v>1250</v>
      </c>
      <c r="P66" s="9">
        <f t="shared" si="1"/>
        <v>1000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ht="13.2" x14ac:dyDescent="0.25">
      <c r="A67" s="3" t="s">
        <v>85</v>
      </c>
      <c r="B67" s="7">
        <v>43891</v>
      </c>
      <c r="C67" s="3" t="s">
        <v>36</v>
      </c>
      <c r="D67" s="8">
        <v>10.287246237392026</v>
      </c>
      <c r="E67" s="8">
        <v>140.1454794118261</v>
      </c>
      <c r="F67" s="9">
        <v>14928.094922138713</v>
      </c>
      <c r="G67" s="10">
        <v>-1</v>
      </c>
      <c r="H67" s="9">
        <v>20000</v>
      </c>
      <c r="I67" s="10">
        <v>1</v>
      </c>
      <c r="J67" s="9">
        <v>20000</v>
      </c>
      <c r="K67" s="9">
        <v>1644.4253728034223</v>
      </c>
      <c r="L67" s="10">
        <v>6</v>
      </c>
      <c r="M67" s="10">
        <v>0</v>
      </c>
      <c r="N67" s="9">
        <v>0</v>
      </c>
      <c r="O67" s="9">
        <f t="shared" si="0"/>
        <v>500</v>
      </c>
      <c r="P67" s="9">
        <f t="shared" si="1"/>
        <v>400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ht="13.2" x14ac:dyDescent="0.25">
      <c r="A68" s="3" t="s">
        <v>86</v>
      </c>
      <c r="B68" s="7">
        <v>43891</v>
      </c>
      <c r="C68" s="3" t="s">
        <v>39</v>
      </c>
      <c r="D68" s="8">
        <v>38.533510392769315</v>
      </c>
      <c r="E68" s="8">
        <v>300.3654313819851</v>
      </c>
      <c r="F68" s="9">
        <v>12097.820220576727</v>
      </c>
      <c r="G68" s="10">
        <v>-1</v>
      </c>
      <c r="H68" s="9">
        <v>10000</v>
      </c>
      <c r="I68" s="10">
        <v>1</v>
      </c>
      <c r="J68" s="9">
        <v>10000</v>
      </c>
      <c r="K68" s="9">
        <v>1132.1213662844159</v>
      </c>
      <c r="L68" s="10">
        <v>6</v>
      </c>
      <c r="M68" s="10">
        <v>0</v>
      </c>
      <c r="N68" s="9">
        <v>0</v>
      </c>
      <c r="O68" s="9">
        <f t="shared" si="0"/>
        <v>250</v>
      </c>
      <c r="P68" s="9">
        <f t="shared" si="1"/>
        <v>200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ht="13.2" x14ac:dyDescent="0.25">
      <c r="A69" s="3" t="s">
        <v>87</v>
      </c>
      <c r="B69" s="7">
        <v>43891</v>
      </c>
      <c r="C69" s="3" t="s">
        <v>36</v>
      </c>
      <c r="D69" s="8">
        <v>114.34474031270997</v>
      </c>
      <c r="E69" s="8">
        <v>349.58363585444602</v>
      </c>
      <c r="F69" s="9">
        <v>219242.64055935264</v>
      </c>
      <c r="G69" s="10">
        <v>1</v>
      </c>
      <c r="H69" s="9">
        <v>150000</v>
      </c>
      <c r="I69" s="10">
        <v>1</v>
      </c>
      <c r="J69" s="9">
        <v>150000</v>
      </c>
      <c r="K69" s="9">
        <v>12959.36100291953</v>
      </c>
      <c r="L69" s="10">
        <v>6</v>
      </c>
      <c r="M69" s="10">
        <v>0</v>
      </c>
      <c r="N69" s="9">
        <v>0</v>
      </c>
      <c r="O69" s="9">
        <f t="shared" si="0"/>
        <v>3750</v>
      </c>
      <c r="P69" s="9">
        <f t="shared" si="1"/>
        <v>3000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ht="13.2" x14ac:dyDescent="0.25">
      <c r="A70" s="3" t="s">
        <v>88</v>
      </c>
      <c r="B70" s="7">
        <v>43891</v>
      </c>
      <c r="C70" s="3" t="s">
        <v>36</v>
      </c>
      <c r="D70" s="8">
        <v>36.408792853818539</v>
      </c>
      <c r="E70" s="8">
        <v>208.31688822615263</v>
      </c>
      <c r="F70" s="9">
        <v>223942.76751114606</v>
      </c>
      <c r="G70" s="10">
        <v>1</v>
      </c>
      <c r="H70" s="9">
        <v>150000</v>
      </c>
      <c r="I70" s="10">
        <v>1</v>
      </c>
      <c r="J70" s="9">
        <v>150000</v>
      </c>
      <c r="K70" s="9">
        <v>14077.925352022836</v>
      </c>
      <c r="L70" s="10">
        <v>6</v>
      </c>
      <c r="M70" s="10">
        <v>1</v>
      </c>
      <c r="N70" s="9">
        <v>64851.277335837724</v>
      </c>
      <c r="O70" s="9">
        <f t="shared" si="0"/>
        <v>3750</v>
      </c>
      <c r="P70" s="9">
        <f t="shared" si="1"/>
        <v>3000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ht="13.2" x14ac:dyDescent="0.25">
      <c r="A71" s="3" t="s">
        <v>40</v>
      </c>
      <c r="B71" s="7">
        <v>43891</v>
      </c>
      <c r="C71" s="3" t="s">
        <v>39</v>
      </c>
      <c r="D71" s="8">
        <v>51.374943165443675</v>
      </c>
      <c r="E71" s="8">
        <v>235.43423701493305</v>
      </c>
      <c r="F71" s="9">
        <v>248056.3296688527</v>
      </c>
      <c r="G71" s="10">
        <v>0</v>
      </c>
      <c r="H71" s="9">
        <v>160000</v>
      </c>
      <c r="I71" s="10">
        <v>1</v>
      </c>
      <c r="J71" s="9">
        <v>160000</v>
      </c>
      <c r="K71" s="9">
        <v>2591.3721191850937</v>
      </c>
      <c r="L71" s="10">
        <v>6</v>
      </c>
      <c r="M71" s="10">
        <v>0</v>
      </c>
      <c r="N71" s="9">
        <v>0</v>
      </c>
      <c r="O71" s="9">
        <f t="shared" si="0"/>
        <v>4000</v>
      </c>
      <c r="P71" s="9">
        <f t="shared" si="1"/>
        <v>3200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ht="13.2" x14ac:dyDescent="0.25">
      <c r="A72" s="3" t="s">
        <v>89</v>
      </c>
      <c r="B72" s="7">
        <v>43891</v>
      </c>
      <c r="C72" s="3" t="s">
        <v>36</v>
      </c>
      <c r="D72" s="8">
        <v>22.662849857945272</v>
      </c>
      <c r="E72" s="8">
        <v>99.631756258443133</v>
      </c>
      <c r="F72" s="9">
        <v>27093.148552225724</v>
      </c>
      <c r="G72" s="10">
        <v>1</v>
      </c>
      <c r="H72" s="9">
        <v>40000</v>
      </c>
      <c r="I72" s="10">
        <v>0</v>
      </c>
      <c r="J72" s="9">
        <v>0</v>
      </c>
      <c r="K72" s="9">
        <v>0</v>
      </c>
      <c r="L72" s="10">
        <v>0</v>
      </c>
      <c r="M72" s="10">
        <v>0</v>
      </c>
      <c r="N72" s="9">
        <v>0</v>
      </c>
      <c r="O72" s="9">
        <f t="shared" si="0"/>
        <v>0</v>
      </c>
      <c r="P72" s="9">
        <f t="shared" si="1"/>
        <v>0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 ht="13.2" x14ac:dyDescent="0.25">
      <c r="A73" s="3" t="s">
        <v>46</v>
      </c>
      <c r="B73" s="7">
        <v>43891</v>
      </c>
      <c r="C73" s="3" t="s">
        <v>39</v>
      </c>
      <c r="D73" s="8">
        <v>62.853889161713042</v>
      </c>
      <c r="E73" s="8">
        <v>60</v>
      </c>
      <c r="F73" s="9">
        <v>222848.76023488835</v>
      </c>
      <c r="G73" s="10">
        <v>-1</v>
      </c>
      <c r="H73" s="9">
        <v>230000</v>
      </c>
      <c r="I73" s="10">
        <v>1</v>
      </c>
      <c r="J73" s="9">
        <v>230000</v>
      </c>
      <c r="K73" s="9">
        <v>16956.770863134148</v>
      </c>
      <c r="L73" s="10">
        <v>6</v>
      </c>
      <c r="M73" s="10">
        <v>0</v>
      </c>
      <c r="N73" s="9">
        <v>0</v>
      </c>
      <c r="O73" s="9">
        <f t="shared" si="0"/>
        <v>5750</v>
      </c>
      <c r="P73" s="9">
        <f t="shared" si="1"/>
        <v>4600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 ht="13.2" x14ac:dyDescent="0.25">
      <c r="A74" s="3" t="s">
        <v>90</v>
      </c>
      <c r="B74" s="7">
        <v>43891</v>
      </c>
      <c r="C74" s="3" t="s">
        <v>36</v>
      </c>
      <c r="D74" s="8">
        <v>16.243557018851096</v>
      </c>
      <c r="E74" s="8">
        <v>282.63079055184926</v>
      </c>
      <c r="F74" s="9">
        <v>85967.461226901738</v>
      </c>
      <c r="G74" s="10">
        <v>1</v>
      </c>
      <c r="H74" s="9">
        <v>110000</v>
      </c>
      <c r="I74" s="10">
        <v>1</v>
      </c>
      <c r="J74" s="9">
        <v>110000</v>
      </c>
      <c r="K74" s="9">
        <v>10816.100453749817</v>
      </c>
      <c r="L74" s="10">
        <v>6</v>
      </c>
      <c r="M74" s="10">
        <v>0</v>
      </c>
      <c r="N74" s="9">
        <v>0</v>
      </c>
      <c r="O74" s="9">
        <f t="shared" si="0"/>
        <v>2750</v>
      </c>
      <c r="P74" s="9">
        <f t="shared" si="1"/>
        <v>2200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 ht="13.2" x14ac:dyDescent="0.25">
      <c r="A75" s="3" t="s">
        <v>91</v>
      </c>
      <c r="B75" s="7">
        <v>43891</v>
      </c>
      <c r="C75" s="3" t="s">
        <v>39</v>
      </c>
      <c r="D75" s="8">
        <v>36.429911702391884</v>
      </c>
      <c r="E75" s="8">
        <v>229.33945424489119</v>
      </c>
      <c r="F75" s="9">
        <v>173674.27731465147</v>
      </c>
      <c r="G75" s="10">
        <v>1</v>
      </c>
      <c r="H75" s="9">
        <v>120000</v>
      </c>
      <c r="I75" s="10">
        <v>1</v>
      </c>
      <c r="J75" s="9">
        <v>120000</v>
      </c>
      <c r="K75" s="9">
        <v>8104.0895583903202</v>
      </c>
      <c r="L75" s="10">
        <v>6</v>
      </c>
      <c r="M75" s="10">
        <v>0</v>
      </c>
      <c r="N75" s="9">
        <v>0</v>
      </c>
      <c r="O75" s="9">
        <f t="shared" si="0"/>
        <v>3000</v>
      </c>
      <c r="P75" s="9">
        <f t="shared" si="1"/>
        <v>2400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 ht="13.2" x14ac:dyDescent="0.25">
      <c r="A76" s="3" t="s">
        <v>92</v>
      </c>
      <c r="B76" s="7">
        <v>43891</v>
      </c>
      <c r="C76" s="3" t="s">
        <v>39</v>
      </c>
      <c r="D76" s="8">
        <v>77.852204881087147</v>
      </c>
      <c r="E76" s="8">
        <v>281.99285760459873</v>
      </c>
      <c r="F76" s="9">
        <v>30189.30848319285</v>
      </c>
      <c r="G76" s="10">
        <v>0</v>
      </c>
      <c r="H76" s="9">
        <v>20000</v>
      </c>
      <c r="I76" s="10">
        <v>0</v>
      </c>
      <c r="J76" s="9">
        <v>0</v>
      </c>
      <c r="K76" s="9">
        <v>0</v>
      </c>
      <c r="L76" s="10">
        <v>0</v>
      </c>
      <c r="M76" s="10">
        <v>0</v>
      </c>
      <c r="N76" s="9">
        <v>0</v>
      </c>
      <c r="O76" s="9">
        <f t="shared" si="0"/>
        <v>0</v>
      </c>
      <c r="P76" s="9">
        <f t="shared" si="1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spans="1:42" ht="13.2" x14ac:dyDescent="0.25">
      <c r="A77" s="3" t="s">
        <v>57</v>
      </c>
      <c r="B77" s="7">
        <v>43891</v>
      </c>
      <c r="C77" s="3" t="s">
        <v>36</v>
      </c>
      <c r="D77" s="8">
        <v>23.437559344737352</v>
      </c>
      <c r="E77" s="8">
        <v>163.23503545564415</v>
      </c>
      <c r="F77" s="9">
        <v>230093.76621838813</v>
      </c>
      <c r="G77" s="10">
        <v>-1</v>
      </c>
      <c r="H77" s="9">
        <v>300000</v>
      </c>
      <c r="I77" s="10">
        <v>0</v>
      </c>
      <c r="J77" s="9">
        <v>0</v>
      </c>
      <c r="K77" s="9">
        <v>0</v>
      </c>
      <c r="L77" s="10">
        <v>0</v>
      </c>
      <c r="M77" s="10">
        <v>0</v>
      </c>
      <c r="N77" s="9">
        <v>0</v>
      </c>
      <c r="O77" s="9">
        <f t="shared" si="0"/>
        <v>0</v>
      </c>
      <c r="P77" s="9">
        <f t="shared" si="1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spans="1:42" ht="13.2" x14ac:dyDescent="0.25">
      <c r="A78" s="3" t="s">
        <v>93</v>
      </c>
      <c r="B78" s="7">
        <v>43891</v>
      </c>
      <c r="C78" s="3" t="s">
        <v>36</v>
      </c>
      <c r="D78" s="8">
        <v>7.1714830201903936</v>
      </c>
      <c r="E78" s="8">
        <v>123.25724486068222</v>
      </c>
      <c r="F78" s="9">
        <v>389917.08461535565</v>
      </c>
      <c r="G78" s="10">
        <v>-1</v>
      </c>
      <c r="H78" s="9">
        <v>710000</v>
      </c>
      <c r="I78" s="10">
        <v>1</v>
      </c>
      <c r="J78" s="9">
        <v>710000</v>
      </c>
      <c r="K78" s="9">
        <v>134530.14925454985</v>
      </c>
      <c r="L78" s="10">
        <v>12</v>
      </c>
      <c r="M78" s="10">
        <v>1</v>
      </c>
      <c r="N78" s="9">
        <v>106500</v>
      </c>
      <c r="O78" s="9">
        <f t="shared" si="0"/>
        <v>17750</v>
      </c>
      <c r="P78" s="9">
        <f t="shared" si="1"/>
        <v>14200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spans="1:42" ht="13.2" x14ac:dyDescent="0.25">
      <c r="A79" s="3" t="s">
        <v>94</v>
      </c>
      <c r="B79" s="7">
        <v>43891</v>
      </c>
      <c r="C79" s="3" t="s">
        <v>36</v>
      </c>
      <c r="D79" s="8">
        <v>3.5101700569171195</v>
      </c>
      <c r="E79" s="8">
        <v>109.74215989416761</v>
      </c>
      <c r="F79" s="9">
        <v>297728.72722719563</v>
      </c>
      <c r="G79" s="10">
        <v>1</v>
      </c>
      <c r="H79" s="9">
        <v>550000</v>
      </c>
      <c r="I79" s="10">
        <v>1</v>
      </c>
      <c r="J79" s="9">
        <v>550000</v>
      </c>
      <c r="K79" s="9">
        <v>60721.461440631399</v>
      </c>
      <c r="L79" s="10">
        <v>6</v>
      </c>
      <c r="M79" s="10">
        <v>1</v>
      </c>
      <c r="N79" s="9">
        <v>137500</v>
      </c>
      <c r="O79" s="9">
        <f t="shared" si="0"/>
        <v>13750</v>
      </c>
      <c r="P79" s="9">
        <f t="shared" si="1"/>
        <v>11000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 ht="13.2" x14ac:dyDescent="0.25">
      <c r="A80" s="3" t="s">
        <v>95</v>
      </c>
      <c r="B80" s="7">
        <v>43891</v>
      </c>
      <c r="C80" s="3" t="s">
        <v>36</v>
      </c>
      <c r="D80" s="8">
        <v>5.4518615561913428</v>
      </c>
      <c r="E80" s="8">
        <v>288.30224161946586</v>
      </c>
      <c r="F80" s="9">
        <v>293404.12676000263</v>
      </c>
      <c r="G80" s="10">
        <v>0</v>
      </c>
      <c r="H80" s="9">
        <v>190000</v>
      </c>
      <c r="I80" s="10">
        <v>0</v>
      </c>
      <c r="J80" s="9">
        <v>0</v>
      </c>
      <c r="K80" s="9">
        <v>0</v>
      </c>
      <c r="L80" s="10">
        <v>0</v>
      </c>
      <c r="M80" s="10">
        <v>0</v>
      </c>
      <c r="N80" s="9">
        <v>0</v>
      </c>
      <c r="O80" s="9">
        <f t="shared" si="0"/>
        <v>0</v>
      </c>
      <c r="P80" s="9">
        <f t="shared" si="1"/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spans="1:42" ht="13.2" x14ac:dyDescent="0.25">
      <c r="A81" s="3" t="s">
        <v>96</v>
      </c>
      <c r="B81" s="7">
        <v>43922</v>
      </c>
      <c r="C81" s="3" t="s">
        <v>36</v>
      </c>
      <c r="D81" s="8">
        <v>154.4471399620345</v>
      </c>
      <c r="E81" s="8">
        <v>276.02110731910136</v>
      </c>
      <c r="F81" s="9">
        <v>185102.03141164189</v>
      </c>
      <c r="G81" s="10">
        <v>0</v>
      </c>
      <c r="H81" s="9">
        <v>130000</v>
      </c>
      <c r="I81" s="10">
        <v>1</v>
      </c>
      <c r="J81" s="9">
        <v>130000</v>
      </c>
      <c r="K81" s="9">
        <v>12507.233972985028</v>
      </c>
      <c r="L81" s="10">
        <v>6</v>
      </c>
      <c r="M81" s="10">
        <v>0</v>
      </c>
      <c r="N81" s="9">
        <v>0</v>
      </c>
      <c r="O81" s="9">
        <f t="shared" si="0"/>
        <v>3250</v>
      </c>
      <c r="P81" s="9">
        <f t="shared" si="1"/>
        <v>2600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1:42" ht="13.2" x14ac:dyDescent="0.25">
      <c r="A82" s="3" t="s">
        <v>97</v>
      </c>
      <c r="B82" s="7">
        <v>43922</v>
      </c>
      <c r="C82" s="3" t="s">
        <v>36</v>
      </c>
      <c r="D82" s="8">
        <v>30.075177148122389</v>
      </c>
      <c r="E82" s="8">
        <v>268.04717843610371</v>
      </c>
      <c r="F82" s="9">
        <v>492882.08279613906</v>
      </c>
      <c r="G82" s="10">
        <v>0</v>
      </c>
      <c r="H82" s="9">
        <v>350000</v>
      </c>
      <c r="I82" s="10">
        <v>0</v>
      </c>
      <c r="J82" s="9">
        <v>0</v>
      </c>
      <c r="K82" s="9">
        <v>0</v>
      </c>
      <c r="L82" s="10">
        <v>0</v>
      </c>
      <c r="M82" s="10">
        <v>0</v>
      </c>
      <c r="N82" s="9">
        <v>0</v>
      </c>
      <c r="O82" s="9">
        <f t="shared" si="0"/>
        <v>0</v>
      </c>
      <c r="P82" s="9">
        <f t="shared" si="1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ht="13.2" x14ac:dyDescent="0.25">
      <c r="A83" s="3" t="s">
        <v>98</v>
      </c>
      <c r="B83" s="7">
        <v>43922</v>
      </c>
      <c r="C83" s="3" t="s">
        <v>36</v>
      </c>
      <c r="D83" s="8">
        <v>107.92248624603855</v>
      </c>
      <c r="E83" s="8">
        <v>199.22244890382552</v>
      </c>
      <c r="F83" s="9">
        <v>264305.65817717905</v>
      </c>
      <c r="G83" s="10">
        <v>-1</v>
      </c>
      <c r="H83" s="9">
        <v>170000</v>
      </c>
      <c r="I83" s="10">
        <v>1</v>
      </c>
      <c r="J83" s="9">
        <v>170000</v>
      </c>
      <c r="K83" s="9">
        <v>10044.330916175943</v>
      </c>
      <c r="L83" s="10">
        <v>6</v>
      </c>
      <c r="M83" s="10">
        <v>0</v>
      </c>
      <c r="N83" s="9">
        <v>0</v>
      </c>
      <c r="O83" s="9">
        <f t="shared" si="0"/>
        <v>4250</v>
      </c>
      <c r="P83" s="9">
        <f t="shared" si="1"/>
        <v>3400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spans="1:42" ht="13.2" x14ac:dyDescent="0.25">
      <c r="A84" s="3" t="s">
        <v>99</v>
      </c>
      <c r="B84" s="7">
        <v>43922</v>
      </c>
      <c r="C84" s="3" t="s">
        <v>36</v>
      </c>
      <c r="D84" s="8">
        <v>77.244841827428132</v>
      </c>
      <c r="E84" s="8">
        <v>165.38498316287144</v>
      </c>
      <c r="F84" s="9">
        <v>148737.81672704447</v>
      </c>
      <c r="G84" s="10">
        <v>1</v>
      </c>
      <c r="H84" s="9">
        <v>200000</v>
      </c>
      <c r="I84" s="10">
        <v>0</v>
      </c>
      <c r="J84" s="9">
        <v>0</v>
      </c>
      <c r="K84" s="9">
        <v>0</v>
      </c>
      <c r="L84" s="10">
        <v>0</v>
      </c>
      <c r="M84" s="10">
        <v>0</v>
      </c>
      <c r="N84" s="9">
        <v>0</v>
      </c>
      <c r="O84" s="9">
        <f t="shared" si="0"/>
        <v>0</v>
      </c>
      <c r="P84" s="9">
        <f t="shared" si="1"/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ht="13.2" x14ac:dyDescent="0.25">
      <c r="A85" s="3" t="s">
        <v>100</v>
      </c>
      <c r="B85" s="7">
        <v>43922</v>
      </c>
      <c r="C85" s="3" t="s">
        <v>36</v>
      </c>
      <c r="D85" s="8">
        <v>109.32056554820372</v>
      </c>
      <c r="E85" s="8">
        <v>346.71349889576931</v>
      </c>
      <c r="F85" s="9">
        <v>926383.01977043925</v>
      </c>
      <c r="G85" s="10">
        <v>0</v>
      </c>
      <c r="H85" s="9">
        <v>620000</v>
      </c>
      <c r="I85" s="10">
        <v>1</v>
      </c>
      <c r="J85" s="9">
        <v>620000</v>
      </c>
      <c r="K85" s="9">
        <v>23366.725610750582</v>
      </c>
      <c r="L85" s="10">
        <v>6</v>
      </c>
      <c r="M85" s="10">
        <v>0</v>
      </c>
      <c r="N85" s="9">
        <v>0</v>
      </c>
      <c r="O85" s="9">
        <f t="shared" si="0"/>
        <v>15500</v>
      </c>
      <c r="P85" s="9">
        <f t="shared" si="1"/>
        <v>12400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spans="1:42" ht="13.2" x14ac:dyDescent="0.25">
      <c r="A86" s="3" t="s">
        <v>57</v>
      </c>
      <c r="B86" s="7">
        <v>43922</v>
      </c>
      <c r="C86" s="3" t="s">
        <v>36</v>
      </c>
      <c r="D86" s="8">
        <v>26.706442688903515</v>
      </c>
      <c r="E86" s="8">
        <v>133.77901787548623</v>
      </c>
      <c r="F86" s="9">
        <v>71749.106699002354</v>
      </c>
      <c r="G86" s="10">
        <v>0</v>
      </c>
      <c r="H86" s="9">
        <v>90000</v>
      </c>
      <c r="I86" s="10">
        <v>1</v>
      </c>
      <c r="J86" s="9">
        <v>90000</v>
      </c>
      <c r="K86" s="9">
        <v>4613.9374718958697</v>
      </c>
      <c r="L86" s="10">
        <v>6</v>
      </c>
      <c r="M86" s="10">
        <v>0</v>
      </c>
      <c r="N86" s="9">
        <v>0</v>
      </c>
      <c r="O86" s="9">
        <f t="shared" si="0"/>
        <v>2250</v>
      </c>
      <c r="P86" s="9">
        <f t="shared" si="1"/>
        <v>1800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spans="1:42" ht="13.2" x14ac:dyDescent="0.25">
      <c r="A87" s="3" t="s">
        <v>101</v>
      </c>
      <c r="B87" s="7">
        <v>43922</v>
      </c>
      <c r="C87" s="3" t="s">
        <v>39</v>
      </c>
      <c r="D87" s="8">
        <v>13.380963517727801</v>
      </c>
      <c r="E87" s="8">
        <v>191.94996626338366</v>
      </c>
      <c r="F87" s="9">
        <v>22739.4002414715</v>
      </c>
      <c r="G87" s="10">
        <v>-1</v>
      </c>
      <c r="H87" s="9">
        <v>30000</v>
      </c>
      <c r="I87" s="10">
        <v>1</v>
      </c>
      <c r="J87" s="9">
        <v>30000</v>
      </c>
      <c r="K87" s="9">
        <v>2122.2062685046676</v>
      </c>
      <c r="L87" s="10">
        <v>6</v>
      </c>
      <c r="M87" s="10">
        <v>0</v>
      </c>
      <c r="N87" s="9">
        <v>0</v>
      </c>
      <c r="O87" s="9">
        <f t="shared" si="0"/>
        <v>750</v>
      </c>
      <c r="P87" s="9">
        <f t="shared" si="1"/>
        <v>600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spans="1:42" ht="13.2" x14ac:dyDescent="0.25">
      <c r="A88" s="3" t="s">
        <v>102</v>
      </c>
      <c r="B88" s="7">
        <v>43922</v>
      </c>
      <c r="C88" s="3" t="s">
        <v>36</v>
      </c>
      <c r="D88" s="8">
        <v>30.905943843914724</v>
      </c>
      <c r="E88" s="8">
        <v>156.82837580146017</v>
      </c>
      <c r="F88" s="9">
        <v>95880.949342060267</v>
      </c>
      <c r="G88" s="10">
        <v>1</v>
      </c>
      <c r="H88" s="9">
        <v>150000</v>
      </c>
      <c r="I88" s="10">
        <v>0</v>
      </c>
      <c r="J88" s="9">
        <v>0</v>
      </c>
      <c r="K88" s="9">
        <v>0</v>
      </c>
      <c r="L88" s="10">
        <v>0</v>
      </c>
      <c r="M88" s="10">
        <v>0</v>
      </c>
      <c r="N88" s="9">
        <v>0</v>
      </c>
      <c r="O88" s="9">
        <f t="shared" si="0"/>
        <v>0</v>
      </c>
      <c r="P88" s="9">
        <f t="shared" si="1"/>
        <v>0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ht="13.2" x14ac:dyDescent="0.25">
      <c r="A89" s="3" t="s">
        <v>103</v>
      </c>
      <c r="B89" s="7">
        <v>43922</v>
      </c>
      <c r="C89" s="3" t="s">
        <v>36</v>
      </c>
      <c r="D89" s="8">
        <v>11.576647644881028</v>
      </c>
      <c r="E89" s="8">
        <v>154.13740122202509</v>
      </c>
      <c r="F89" s="9">
        <v>21490.419465712639</v>
      </c>
      <c r="G89" s="10">
        <v>-1</v>
      </c>
      <c r="H89" s="9">
        <v>30000</v>
      </c>
      <c r="I89" s="10">
        <v>0</v>
      </c>
      <c r="J89" s="9">
        <v>0</v>
      </c>
      <c r="K89" s="9">
        <v>0</v>
      </c>
      <c r="L89" s="10">
        <v>0</v>
      </c>
      <c r="M89" s="10">
        <v>0</v>
      </c>
      <c r="N89" s="9">
        <v>0</v>
      </c>
      <c r="O89" s="9">
        <f t="shared" si="0"/>
        <v>0</v>
      </c>
      <c r="P89" s="9">
        <f t="shared" si="1"/>
        <v>0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spans="1:42" ht="13.2" x14ac:dyDescent="0.25">
      <c r="A90" s="3" t="s">
        <v>104</v>
      </c>
      <c r="B90" s="7">
        <v>43922</v>
      </c>
      <c r="C90" s="3" t="s">
        <v>36</v>
      </c>
      <c r="D90" s="8">
        <v>59.028847910223362</v>
      </c>
      <c r="E90" s="8">
        <v>103.16943081791263</v>
      </c>
      <c r="F90" s="9">
        <v>83140.137256346105</v>
      </c>
      <c r="G90" s="10">
        <v>-1</v>
      </c>
      <c r="H90" s="9">
        <v>150000</v>
      </c>
      <c r="I90" s="10">
        <v>0</v>
      </c>
      <c r="J90" s="9">
        <v>0</v>
      </c>
      <c r="K90" s="9">
        <v>0</v>
      </c>
      <c r="L90" s="10">
        <v>0</v>
      </c>
      <c r="M90" s="10">
        <v>0</v>
      </c>
      <c r="N90" s="9">
        <v>0</v>
      </c>
      <c r="O90" s="9">
        <f t="shared" si="0"/>
        <v>0</v>
      </c>
      <c r="P90" s="9">
        <f t="shared" si="1"/>
        <v>0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ht="13.2" x14ac:dyDescent="0.25">
      <c r="A91" s="3" t="s">
        <v>78</v>
      </c>
      <c r="B91" s="7">
        <v>43922</v>
      </c>
      <c r="C91" s="3" t="s">
        <v>36</v>
      </c>
      <c r="D91" s="8">
        <v>56.551022104884396</v>
      </c>
      <c r="E91" s="8">
        <v>204.57106661828058</v>
      </c>
      <c r="F91" s="9">
        <v>93499.008015074272</v>
      </c>
      <c r="G91" s="10">
        <v>0</v>
      </c>
      <c r="H91" s="9">
        <v>120000</v>
      </c>
      <c r="I91" s="10">
        <v>0</v>
      </c>
      <c r="J91" s="9">
        <v>0</v>
      </c>
      <c r="K91" s="9">
        <v>0</v>
      </c>
      <c r="L91" s="10">
        <v>0</v>
      </c>
      <c r="M91" s="10">
        <v>0</v>
      </c>
      <c r="N91" s="9">
        <v>0</v>
      </c>
      <c r="O91" s="9">
        <f t="shared" si="0"/>
        <v>0</v>
      </c>
      <c r="P91" s="9">
        <f t="shared" si="1"/>
        <v>0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spans="1:42" ht="13.2" x14ac:dyDescent="0.25">
      <c r="A92" s="3" t="s">
        <v>105</v>
      </c>
      <c r="B92" s="7">
        <v>43922</v>
      </c>
      <c r="C92" s="3" t="s">
        <v>36</v>
      </c>
      <c r="D92" s="8">
        <v>15.805715853494434</v>
      </c>
      <c r="E92" s="8">
        <v>267.11042825674758</v>
      </c>
      <c r="F92" s="9">
        <v>23418.310652158267</v>
      </c>
      <c r="G92" s="10">
        <v>1</v>
      </c>
      <c r="H92" s="9">
        <v>20000</v>
      </c>
      <c r="I92" s="10">
        <v>0</v>
      </c>
      <c r="J92" s="9">
        <v>0</v>
      </c>
      <c r="K92" s="9">
        <v>0</v>
      </c>
      <c r="L92" s="10">
        <v>0</v>
      </c>
      <c r="M92" s="10">
        <v>0</v>
      </c>
      <c r="N92" s="9">
        <v>0</v>
      </c>
      <c r="O92" s="9">
        <f t="shared" si="0"/>
        <v>0</v>
      </c>
      <c r="P92" s="9">
        <f t="shared" si="1"/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 ht="13.2" x14ac:dyDescent="0.25">
      <c r="A93" s="3" t="s">
        <v>61</v>
      </c>
      <c r="B93" s="7">
        <v>43922</v>
      </c>
      <c r="C93" s="3" t="s">
        <v>36</v>
      </c>
      <c r="D93" s="8">
        <v>68.697408188066021</v>
      </c>
      <c r="E93" s="8">
        <v>132.3766037554646</v>
      </c>
      <c r="F93" s="9">
        <v>74976.479305662913</v>
      </c>
      <c r="G93" s="10">
        <v>-1</v>
      </c>
      <c r="H93" s="9">
        <v>60000</v>
      </c>
      <c r="I93" s="10">
        <v>1</v>
      </c>
      <c r="J93" s="9">
        <v>60000</v>
      </c>
      <c r="K93" s="9">
        <v>2457.7940783274935</v>
      </c>
      <c r="L93" s="10">
        <v>6</v>
      </c>
      <c r="M93" s="10">
        <v>0</v>
      </c>
      <c r="N93" s="9">
        <v>0</v>
      </c>
      <c r="O93" s="9">
        <f t="shared" si="0"/>
        <v>1500</v>
      </c>
      <c r="P93" s="9">
        <f t="shared" si="1"/>
        <v>1200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ht="13.2" x14ac:dyDescent="0.25">
      <c r="A94" s="3" t="s">
        <v>106</v>
      </c>
      <c r="B94" s="7">
        <v>43922</v>
      </c>
      <c r="C94" s="3" t="s">
        <v>36</v>
      </c>
      <c r="D94" s="8">
        <v>117.98636328231008</v>
      </c>
      <c r="E94" s="8">
        <v>290.03510782338259</v>
      </c>
      <c r="F94" s="9">
        <v>15653.985690518282</v>
      </c>
      <c r="G94" s="10">
        <v>1</v>
      </c>
      <c r="H94" s="9">
        <v>10000</v>
      </c>
      <c r="I94" s="10">
        <v>0</v>
      </c>
      <c r="J94" s="9">
        <v>0</v>
      </c>
      <c r="K94" s="9">
        <v>0</v>
      </c>
      <c r="L94" s="10">
        <v>0</v>
      </c>
      <c r="M94" s="10">
        <v>0</v>
      </c>
      <c r="N94" s="9">
        <v>0</v>
      </c>
      <c r="O94" s="9">
        <f t="shared" si="0"/>
        <v>0</v>
      </c>
      <c r="P94" s="9">
        <f t="shared" si="1"/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 ht="13.2" x14ac:dyDescent="0.25">
      <c r="A95" s="3" t="s">
        <v>88</v>
      </c>
      <c r="B95" s="7">
        <v>43922</v>
      </c>
      <c r="C95" s="3" t="s">
        <v>36</v>
      </c>
      <c r="D95" s="8">
        <v>36.652615073573557</v>
      </c>
      <c r="E95" s="8">
        <v>179.88462508369233</v>
      </c>
      <c r="F95" s="9">
        <v>354205.0003644689</v>
      </c>
      <c r="G95" s="10">
        <v>-1</v>
      </c>
      <c r="H95" s="9">
        <v>240000</v>
      </c>
      <c r="I95" s="10">
        <v>1</v>
      </c>
      <c r="J95" s="9">
        <v>240000</v>
      </c>
      <c r="K95" s="9">
        <v>21428.887698510727</v>
      </c>
      <c r="L95" s="10">
        <v>6</v>
      </c>
      <c r="M95" s="10">
        <v>0</v>
      </c>
      <c r="N95" s="9">
        <v>0</v>
      </c>
      <c r="O95" s="9">
        <f t="shared" si="0"/>
        <v>6000</v>
      </c>
      <c r="P95" s="9">
        <f t="shared" si="1"/>
        <v>4800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 ht="13.2" x14ac:dyDescent="0.25">
      <c r="A96" s="3" t="s">
        <v>75</v>
      </c>
      <c r="B96" s="7">
        <v>43922</v>
      </c>
      <c r="C96" s="3" t="s">
        <v>36</v>
      </c>
      <c r="D96" s="8">
        <v>22.422869155305357</v>
      </c>
      <c r="E96" s="8">
        <v>116.22822822162115</v>
      </c>
      <c r="F96" s="9">
        <v>114549.23255542811</v>
      </c>
      <c r="G96" s="10">
        <v>-1</v>
      </c>
      <c r="H96" s="9">
        <v>210000</v>
      </c>
      <c r="I96" s="10">
        <v>1</v>
      </c>
      <c r="J96" s="9">
        <v>210000</v>
      </c>
      <c r="K96" s="9">
        <v>13535.732314102235</v>
      </c>
      <c r="L96" s="10">
        <v>6</v>
      </c>
      <c r="M96" s="10">
        <v>0</v>
      </c>
      <c r="N96" s="9">
        <v>0</v>
      </c>
      <c r="O96" s="9">
        <f t="shared" si="0"/>
        <v>5250</v>
      </c>
      <c r="P96" s="9">
        <f t="shared" si="1"/>
        <v>4200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1:42" ht="13.2" x14ac:dyDescent="0.25">
      <c r="A97" s="3" t="s">
        <v>86</v>
      </c>
      <c r="B97" s="7">
        <v>43922</v>
      </c>
      <c r="C97" s="3" t="s">
        <v>39</v>
      </c>
      <c r="D97" s="8">
        <v>61.714366063643993</v>
      </c>
      <c r="E97" s="8">
        <v>240.32024024976971</v>
      </c>
      <c r="F97" s="9">
        <v>6755.9085217703769</v>
      </c>
      <c r="G97" s="10">
        <v>0</v>
      </c>
      <c r="H97" s="9">
        <v>6666.666666666667</v>
      </c>
      <c r="I97" s="10">
        <v>1</v>
      </c>
      <c r="J97" s="9">
        <v>6666.666666666667</v>
      </c>
      <c r="K97" s="9">
        <v>465.35474781208075</v>
      </c>
      <c r="L97" s="10">
        <v>6</v>
      </c>
      <c r="M97" s="10">
        <v>0</v>
      </c>
      <c r="N97" s="9">
        <v>0</v>
      </c>
      <c r="O97" s="9">
        <f t="shared" si="0"/>
        <v>166.66666666666669</v>
      </c>
      <c r="P97" s="9">
        <f t="shared" si="1"/>
        <v>133.33333333333334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1:42" ht="13.2" x14ac:dyDescent="0.25">
      <c r="A98" s="3" t="s">
        <v>107</v>
      </c>
      <c r="B98" s="7">
        <v>43922</v>
      </c>
      <c r="C98" s="3" t="s">
        <v>39</v>
      </c>
      <c r="D98" s="8">
        <v>26.939602311498835</v>
      </c>
      <c r="E98" s="8">
        <v>114.91056000223141</v>
      </c>
      <c r="F98" s="9">
        <v>15215.711533806516</v>
      </c>
      <c r="G98" s="10">
        <v>1</v>
      </c>
      <c r="H98" s="9">
        <v>20000</v>
      </c>
      <c r="I98" s="10">
        <v>0</v>
      </c>
      <c r="J98" s="9">
        <v>0</v>
      </c>
      <c r="K98" s="9">
        <v>0</v>
      </c>
      <c r="L98" s="10">
        <v>0</v>
      </c>
      <c r="M98" s="10">
        <v>0</v>
      </c>
      <c r="N98" s="9">
        <v>0</v>
      </c>
      <c r="O98" s="9">
        <f t="shared" si="0"/>
        <v>0</v>
      </c>
      <c r="P98" s="9">
        <f t="shared" si="1"/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1:42" ht="13.2" x14ac:dyDescent="0.25">
      <c r="A99" s="3" t="s">
        <v>108</v>
      </c>
      <c r="B99" s="7">
        <v>43922</v>
      </c>
      <c r="C99" s="3" t="s">
        <v>36</v>
      </c>
      <c r="D99" s="8">
        <v>23.189682073599876</v>
      </c>
      <c r="E99" s="8">
        <v>326.35621626391219</v>
      </c>
      <c r="F99" s="9">
        <v>145991.89369552504</v>
      </c>
      <c r="G99" s="10">
        <v>0</v>
      </c>
      <c r="H99" s="9">
        <v>100000</v>
      </c>
      <c r="I99" s="10">
        <v>1</v>
      </c>
      <c r="J99" s="9">
        <v>100000</v>
      </c>
      <c r="K99" s="9">
        <v>5689.1296452391989</v>
      </c>
      <c r="L99" s="10">
        <v>6</v>
      </c>
      <c r="M99" s="10">
        <v>0</v>
      </c>
      <c r="N99" s="9">
        <v>0</v>
      </c>
      <c r="O99" s="9">
        <f t="shared" si="0"/>
        <v>2500</v>
      </c>
      <c r="P99" s="9">
        <f t="shared" si="1"/>
        <v>2000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1:42" ht="13.2" x14ac:dyDescent="0.25">
      <c r="A100" s="3" t="s">
        <v>109</v>
      </c>
      <c r="B100" s="7">
        <v>43922</v>
      </c>
      <c r="C100" s="3" t="s">
        <v>39</v>
      </c>
      <c r="D100" s="8">
        <v>177.65065758655109</v>
      </c>
      <c r="E100" s="8">
        <v>328.28623107638418</v>
      </c>
      <c r="F100" s="9">
        <v>59594.291900928642</v>
      </c>
      <c r="G100" s="10">
        <v>0</v>
      </c>
      <c r="H100" s="9">
        <v>40000</v>
      </c>
      <c r="I100" s="10">
        <v>1</v>
      </c>
      <c r="J100" s="9">
        <v>40000</v>
      </c>
      <c r="K100" s="9">
        <v>3573.5103609238254</v>
      </c>
      <c r="L100" s="10">
        <v>6</v>
      </c>
      <c r="M100" s="10">
        <v>0</v>
      </c>
      <c r="N100" s="9">
        <v>0</v>
      </c>
      <c r="O100" s="9">
        <f t="shared" si="0"/>
        <v>1000</v>
      </c>
      <c r="P100" s="9">
        <f t="shared" si="1"/>
        <v>800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1:42" ht="13.2" x14ac:dyDescent="0.25">
      <c r="A101" s="3" t="s">
        <v>110</v>
      </c>
      <c r="B101" s="7">
        <v>43922</v>
      </c>
      <c r="C101" s="3" t="s">
        <v>36</v>
      </c>
      <c r="D101" s="8">
        <v>3</v>
      </c>
      <c r="E101" s="8">
        <v>192.22134177622198</v>
      </c>
      <c r="F101" s="9">
        <v>202977.43678165131</v>
      </c>
      <c r="G101" s="10">
        <v>-1</v>
      </c>
      <c r="H101" s="9">
        <v>290000</v>
      </c>
      <c r="I101" s="10">
        <v>1</v>
      </c>
      <c r="J101" s="9">
        <v>290000</v>
      </c>
      <c r="K101" s="9">
        <v>12359.085074906459</v>
      </c>
      <c r="L101" s="10">
        <v>6</v>
      </c>
      <c r="M101" s="10">
        <v>0</v>
      </c>
      <c r="N101" s="9">
        <v>0</v>
      </c>
      <c r="O101" s="9">
        <f t="shared" si="0"/>
        <v>7250</v>
      </c>
      <c r="P101" s="9">
        <f t="shared" si="1"/>
        <v>5800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1:42" ht="13.2" x14ac:dyDescent="0.25">
      <c r="A102" s="3" t="s">
        <v>72</v>
      </c>
      <c r="B102" s="7">
        <v>43922</v>
      </c>
      <c r="C102" s="3" t="s">
        <v>36</v>
      </c>
      <c r="D102" s="8">
        <v>27.226090753692894</v>
      </c>
      <c r="E102" s="8">
        <v>147.73667866951996</v>
      </c>
      <c r="F102" s="9">
        <v>79650.587232585109</v>
      </c>
      <c r="G102" s="10">
        <v>-1</v>
      </c>
      <c r="H102" s="9">
        <v>120000</v>
      </c>
      <c r="I102" s="10">
        <v>0</v>
      </c>
      <c r="J102" s="9">
        <v>0</v>
      </c>
      <c r="K102" s="9">
        <v>0</v>
      </c>
      <c r="L102" s="10">
        <v>0</v>
      </c>
      <c r="M102" s="10">
        <v>0</v>
      </c>
      <c r="N102" s="9">
        <v>0</v>
      </c>
      <c r="O102" s="9">
        <f t="shared" si="0"/>
        <v>0</v>
      </c>
      <c r="P102" s="9">
        <f t="shared" si="1"/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1:42" ht="13.2" x14ac:dyDescent="0.25">
      <c r="A103" s="3" t="s">
        <v>111</v>
      </c>
      <c r="B103" s="7">
        <v>43922</v>
      </c>
      <c r="C103" s="3" t="s">
        <v>36</v>
      </c>
      <c r="D103" s="8">
        <v>3</v>
      </c>
      <c r="E103" s="8">
        <v>104.25171238652383</v>
      </c>
      <c r="F103" s="9">
        <v>34604.576241644063</v>
      </c>
      <c r="G103" s="10">
        <v>1</v>
      </c>
      <c r="H103" s="9">
        <v>60000</v>
      </c>
      <c r="I103" s="10">
        <v>0</v>
      </c>
      <c r="J103" s="9">
        <v>0</v>
      </c>
      <c r="K103" s="9">
        <v>0</v>
      </c>
      <c r="L103" s="10">
        <v>0</v>
      </c>
      <c r="M103" s="10">
        <v>0</v>
      </c>
      <c r="N103" s="9">
        <v>0</v>
      </c>
      <c r="O103" s="9">
        <f t="shared" si="0"/>
        <v>0</v>
      </c>
      <c r="P103" s="9">
        <f t="shared" si="1"/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1:42" ht="13.2" x14ac:dyDescent="0.25">
      <c r="A104" s="3" t="s">
        <v>112</v>
      </c>
      <c r="B104" s="7">
        <v>43952</v>
      </c>
      <c r="C104" s="3" t="s">
        <v>39</v>
      </c>
      <c r="D104" s="8">
        <v>67.674890460676195</v>
      </c>
      <c r="E104" s="8">
        <v>342.70100964095741</v>
      </c>
      <c r="F104" s="9">
        <v>194553.87205740128</v>
      </c>
      <c r="G104" s="10">
        <v>-1</v>
      </c>
      <c r="H104" s="9">
        <v>130000</v>
      </c>
      <c r="I104" s="10">
        <v>1</v>
      </c>
      <c r="J104" s="9">
        <v>130000</v>
      </c>
      <c r="K104" s="9">
        <v>7064.9712134089505</v>
      </c>
      <c r="L104" s="10">
        <v>6</v>
      </c>
      <c r="M104" s="10">
        <v>0</v>
      </c>
      <c r="N104" s="9">
        <v>0</v>
      </c>
      <c r="O104" s="9">
        <f t="shared" si="0"/>
        <v>3250</v>
      </c>
      <c r="P104" s="9">
        <f t="shared" si="1"/>
        <v>2600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1:42" ht="13.2" x14ac:dyDescent="0.25">
      <c r="A105" s="3" t="s">
        <v>113</v>
      </c>
      <c r="B105" s="7">
        <v>43952</v>
      </c>
      <c r="C105" s="3" t="s">
        <v>39</v>
      </c>
      <c r="D105" s="8">
        <v>68.485716890724902</v>
      </c>
      <c r="E105" s="8">
        <v>240.47261263255868</v>
      </c>
      <c r="F105" s="9">
        <v>636809.70537827455</v>
      </c>
      <c r="G105" s="10">
        <v>1</v>
      </c>
      <c r="H105" s="9">
        <v>650000</v>
      </c>
      <c r="I105" s="10">
        <v>0</v>
      </c>
      <c r="J105" s="9">
        <v>0</v>
      </c>
      <c r="K105" s="9">
        <v>0</v>
      </c>
      <c r="L105" s="10">
        <v>0</v>
      </c>
      <c r="M105" s="10">
        <v>0</v>
      </c>
      <c r="N105" s="9">
        <v>0</v>
      </c>
      <c r="O105" s="9">
        <f t="shared" si="0"/>
        <v>0</v>
      </c>
      <c r="P105" s="9">
        <f t="shared" si="1"/>
        <v>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1:42" ht="13.2" x14ac:dyDescent="0.25">
      <c r="A106" s="3" t="s">
        <v>45</v>
      </c>
      <c r="B106" s="7">
        <v>43952</v>
      </c>
      <c r="C106" s="3" t="s">
        <v>36</v>
      </c>
      <c r="D106" s="8">
        <v>41.079749933756162</v>
      </c>
      <c r="E106" s="8">
        <v>121.19301521351821</v>
      </c>
      <c r="F106" s="9">
        <v>12237.991243458539</v>
      </c>
      <c r="G106" s="10">
        <v>-1</v>
      </c>
      <c r="H106" s="9">
        <v>10000</v>
      </c>
      <c r="I106" s="10">
        <v>1</v>
      </c>
      <c r="J106" s="9">
        <v>10000</v>
      </c>
      <c r="K106" s="9">
        <v>1444.8734117922513</v>
      </c>
      <c r="L106" s="10">
        <v>7</v>
      </c>
      <c r="M106" s="10">
        <v>0</v>
      </c>
      <c r="N106" s="9">
        <v>0</v>
      </c>
      <c r="O106" s="9">
        <f t="shared" si="0"/>
        <v>250</v>
      </c>
      <c r="P106" s="9">
        <f t="shared" si="1"/>
        <v>200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1:42" ht="13.2" x14ac:dyDescent="0.25">
      <c r="A107" s="3" t="s">
        <v>114</v>
      </c>
      <c r="B107" s="7">
        <v>43952</v>
      </c>
      <c r="C107" s="3" t="s">
        <v>36</v>
      </c>
      <c r="D107" s="8">
        <v>42.798238350443356</v>
      </c>
      <c r="E107" s="8">
        <v>363.87595994884413</v>
      </c>
      <c r="F107" s="9">
        <v>9831.2946038351383</v>
      </c>
      <c r="G107" s="10">
        <v>-1</v>
      </c>
      <c r="H107" s="9">
        <v>6666.666666666667</v>
      </c>
      <c r="I107" s="10">
        <v>1</v>
      </c>
      <c r="J107" s="9">
        <v>6666.666666666667</v>
      </c>
      <c r="K107" s="9">
        <v>408.57014284543823</v>
      </c>
      <c r="L107" s="10">
        <v>6</v>
      </c>
      <c r="M107" s="10">
        <v>0</v>
      </c>
      <c r="N107" s="9">
        <v>0</v>
      </c>
      <c r="O107" s="9">
        <f t="shared" si="0"/>
        <v>166.66666666666669</v>
      </c>
      <c r="P107" s="9">
        <f t="shared" si="1"/>
        <v>133.33333333333334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1:42" ht="13.2" x14ac:dyDescent="0.25">
      <c r="A108" s="3" t="s">
        <v>85</v>
      </c>
      <c r="B108" s="7">
        <v>43952</v>
      </c>
      <c r="C108" s="3" t="s">
        <v>36</v>
      </c>
      <c r="D108" s="8">
        <v>8.1009980946361022</v>
      </c>
      <c r="E108" s="8">
        <v>263.67394980657747</v>
      </c>
      <c r="F108" s="9">
        <v>92853.812325677558</v>
      </c>
      <c r="G108" s="10">
        <v>0</v>
      </c>
      <c r="H108" s="9">
        <v>120000</v>
      </c>
      <c r="I108" s="10">
        <v>0</v>
      </c>
      <c r="J108" s="9">
        <v>0</v>
      </c>
      <c r="K108" s="9">
        <v>0</v>
      </c>
      <c r="L108" s="10">
        <v>0</v>
      </c>
      <c r="M108" s="10">
        <v>0</v>
      </c>
      <c r="N108" s="9">
        <v>0</v>
      </c>
      <c r="O108" s="9">
        <f t="shared" si="0"/>
        <v>0</v>
      </c>
      <c r="P108" s="9">
        <f t="shared" si="1"/>
        <v>0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1:42" ht="13.2" x14ac:dyDescent="0.25">
      <c r="A109" s="3" t="s">
        <v>115</v>
      </c>
      <c r="B109" s="7">
        <v>43952</v>
      </c>
      <c r="C109" s="3" t="s">
        <v>36</v>
      </c>
      <c r="D109" s="8">
        <v>41.924599074943075</v>
      </c>
      <c r="E109" s="8">
        <v>170.15875869929451</v>
      </c>
      <c r="F109" s="9">
        <v>1353606.162278807</v>
      </c>
      <c r="G109" s="10">
        <v>0</v>
      </c>
      <c r="H109" s="9">
        <v>1290000</v>
      </c>
      <c r="I109" s="10">
        <v>0</v>
      </c>
      <c r="J109" s="9">
        <v>0</v>
      </c>
      <c r="K109" s="9">
        <v>0</v>
      </c>
      <c r="L109" s="10">
        <v>0</v>
      </c>
      <c r="M109" s="10">
        <v>0</v>
      </c>
      <c r="N109" s="9">
        <v>0</v>
      </c>
      <c r="O109" s="9">
        <f t="shared" si="0"/>
        <v>0</v>
      </c>
      <c r="P109" s="9">
        <f t="shared" si="1"/>
        <v>0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1:42" ht="13.2" x14ac:dyDescent="0.25">
      <c r="A110" s="3" t="s">
        <v>64</v>
      </c>
      <c r="B110" s="7">
        <v>43952</v>
      </c>
      <c r="C110" s="3" t="s">
        <v>39</v>
      </c>
      <c r="D110" s="8">
        <v>31.924907484921857</v>
      </c>
      <c r="E110" s="8">
        <v>127.35336208454369</v>
      </c>
      <c r="F110" s="9">
        <v>105553.50330451148</v>
      </c>
      <c r="G110" s="10">
        <v>0</v>
      </c>
      <c r="H110" s="9">
        <v>130000</v>
      </c>
      <c r="I110" s="10">
        <v>1</v>
      </c>
      <c r="J110" s="9">
        <v>130000</v>
      </c>
      <c r="K110" s="9">
        <v>8873.8057306635346</v>
      </c>
      <c r="L110" s="10">
        <v>6</v>
      </c>
      <c r="M110" s="10">
        <v>0</v>
      </c>
      <c r="N110" s="9">
        <v>0</v>
      </c>
      <c r="O110" s="9">
        <f t="shared" si="0"/>
        <v>3250</v>
      </c>
      <c r="P110" s="9">
        <f t="shared" si="1"/>
        <v>2600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1:42" ht="13.2" x14ac:dyDescent="0.25">
      <c r="A111" s="3" t="s">
        <v>116</v>
      </c>
      <c r="B111" s="7">
        <v>43952</v>
      </c>
      <c r="C111" s="3" t="s">
        <v>39</v>
      </c>
      <c r="D111" s="8">
        <v>41.167668228468742</v>
      </c>
      <c r="E111" s="8">
        <v>299.180374015251</v>
      </c>
      <c r="F111" s="9">
        <v>650156.09308346105</v>
      </c>
      <c r="G111" s="10">
        <v>0</v>
      </c>
      <c r="H111" s="9">
        <v>440000</v>
      </c>
      <c r="I111" s="10">
        <v>1</v>
      </c>
      <c r="J111" s="9">
        <v>440000</v>
      </c>
      <c r="K111" s="9">
        <v>29163.155891827377</v>
      </c>
      <c r="L111" s="10">
        <v>6</v>
      </c>
      <c r="M111" s="10">
        <v>0</v>
      </c>
      <c r="N111" s="9">
        <v>0</v>
      </c>
      <c r="O111" s="9">
        <f t="shared" si="0"/>
        <v>11000</v>
      </c>
      <c r="P111" s="9">
        <f t="shared" si="1"/>
        <v>8800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1:42" ht="13.2" x14ac:dyDescent="0.25">
      <c r="A112" s="3" t="s">
        <v>95</v>
      </c>
      <c r="B112" s="7">
        <v>43952</v>
      </c>
      <c r="C112" s="3" t="s">
        <v>36</v>
      </c>
      <c r="D112" s="8">
        <v>3.4524474476635634</v>
      </c>
      <c r="E112" s="8">
        <v>268.87670087769766</v>
      </c>
      <c r="F112" s="9">
        <v>235795.50798131671</v>
      </c>
      <c r="G112" s="10">
        <v>0</v>
      </c>
      <c r="H112" s="9">
        <v>240000</v>
      </c>
      <c r="I112" s="10">
        <v>1</v>
      </c>
      <c r="J112" s="9">
        <v>240000</v>
      </c>
      <c r="K112" s="9">
        <v>22756.092897942635</v>
      </c>
      <c r="L112" s="10">
        <v>7</v>
      </c>
      <c r="M112" s="10">
        <v>0</v>
      </c>
      <c r="N112" s="9">
        <v>0</v>
      </c>
      <c r="O112" s="9">
        <f t="shared" si="0"/>
        <v>6000</v>
      </c>
      <c r="P112" s="9">
        <f t="shared" si="1"/>
        <v>4800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2" ht="13.2" x14ac:dyDescent="0.25">
      <c r="A113" s="3" t="s">
        <v>58</v>
      </c>
      <c r="B113" s="7">
        <v>43952</v>
      </c>
      <c r="C113" s="3" t="s">
        <v>36</v>
      </c>
      <c r="D113" s="8">
        <v>38.733188607913249</v>
      </c>
      <c r="E113" s="8">
        <v>164.52204881244387</v>
      </c>
      <c r="F113" s="9">
        <v>302333.13725716254</v>
      </c>
      <c r="G113" s="10">
        <v>0</v>
      </c>
      <c r="H113" s="9">
        <v>290000</v>
      </c>
      <c r="I113" s="10">
        <v>0</v>
      </c>
      <c r="J113" s="9">
        <v>0</v>
      </c>
      <c r="K113" s="9">
        <v>0</v>
      </c>
      <c r="L113" s="10">
        <v>0</v>
      </c>
      <c r="M113" s="10">
        <v>0</v>
      </c>
      <c r="N113" s="9">
        <v>0</v>
      </c>
      <c r="O113" s="9">
        <f t="shared" si="0"/>
        <v>0</v>
      </c>
      <c r="P113" s="9">
        <f t="shared" si="1"/>
        <v>0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spans="1:42" ht="13.2" x14ac:dyDescent="0.25">
      <c r="A114" s="3" t="s">
        <v>102</v>
      </c>
      <c r="B114" s="7">
        <v>43952</v>
      </c>
      <c r="C114" s="3" t="s">
        <v>36</v>
      </c>
      <c r="D114" s="8">
        <v>31.279139674917015</v>
      </c>
      <c r="E114" s="8">
        <v>120.29931596683566</v>
      </c>
      <c r="F114" s="9">
        <v>265673.39572802879</v>
      </c>
      <c r="G114" s="10">
        <v>-1</v>
      </c>
      <c r="H114" s="9">
        <v>390000</v>
      </c>
      <c r="I114" s="10">
        <v>0</v>
      </c>
      <c r="J114" s="9">
        <v>0</v>
      </c>
      <c r="K114" s="9">
        <v>0</v>
      </c>
      <c r="L114" s="10">
        <v>0</v>
      </c>
      <c r="M114" s="10">
        <v>0</v>
      </c>
      <c r="N114" s="9">
        <v>0</v>
      </c>
      <c r="O114" s="9">
        <f t="shared" si="0"/>
        <v>0</v>
      </c>
      <c r="P114" s="9">
        <f t="shared" si="1"/>
        <v>0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spans="1:42" ht="13.2" x14ac:dyDescent="0.25">
      <c r="A115" s="3" t="s">
        <v>117</v>
      </c>
      <c r="B115" s="7">
        <v>43952</v>
      </c>
      <c r="C115" s="3" t="s">
        <v>36</v>
      </c>
      <c r="D115" s="8">
        <v>16.440104718990803</v>
      </c>
      <c r="E115" s="8">
        <v>133.35482648873162</v>
      </c>
      <c r="F115" s="9">
        <v>6014.5097444053308</v>
      </c>
      <c r="G115" s="10">
        <v>-1</v>
      </c>
      <c r="H115" s="9">
        <v>10000</v>
      </c>
      <c r="I115" s="10">
        <v>0</v>
      </c>
      <c r="J115" s="9">
        <v>0</v>
      </c>
      <c r="K115" s="9">
        <v>0</v>
      </c>
      <c r="L115" s="10">
        <v>0</v>
      </c>
      <c r="M115" s="10">
        <v>0</v>
      </c>
      <c r="N115" s="9">
        <v>0</v>
      </c>
      <c r="O115" s="9">
        <f t="shared" si="0"/>
        <v>0</v>
      </c>
      <c r="P115" s="9">
        <f t="shared" si="1"/>
        <v>0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spans="1:42" ht="13.2" x14ac:dyDescent="0.25">
      <c r="A116" s="3" t="s">
        <v>40</v>
      </c>
      <c r="B116" s="7">
        <v>43952</v>
      </c>
      <c r="C116" s="3" t="s">
        <v>39</v>
      </c>
      <c r="D116" s="8">
        <v>44.490291493555276</v>
      </c>
      <c r="E116" s="8">
        <v>283.98600266155739</v>
      </c>
      <c r="F116" s="9">
        <v>217001.25282833885</v>
      </c>
      <c r="G116" s="10">
        <v>0</v>
      </c>
      <c r="H116" s="9">
        <v>180000</v>
      </c>
      <c r="I116" s="10">
        <v>1</v>
      </c>
      <c r="J116" s="9">
        <v>180000</v>
      </c>
      <c r="K116" s="9">
        <v>13543.732720364744</v>
      </c>
      <c r="L116" s="10">
        <v>6</v>
      </c>
      <c r="M116" s="10">
        <v>0</v>
      </c>
      <c r="N116" s="9">
        <v>0</v>
      </c>
      <c r="O116" s="9">
        <f t="shared" si="0"/>
        <v>4500</v>
      </c>
      <c r="P116" s="9">
        <f t="shared" si="1"/>
        <v>3600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spans="1:42" ht="13.2" x14ac:dyDescent="0.25">
      <c r="A117" s="3" t="s">
        <v>71</v>
      </c>
      <c r="B117" s="7">
        <v>43952</v>
      </c>
      <c r="C117" s="3" t="s">
        <v>36</v>
      </c>
      <c r="D117" s="8">
        <v>89.673334863180827</v>
      </c>
      <c r="E117" s="8">
        <v>302.57854251907872</v>
      </c>
      <c r="F117" s="9">
        <v>107840.11532670166</v>
      </c>
      <c r="G117" s="10">
        <v>1</v>
      </c>
      <c r="H117" s="9">
        <v>70000</v>
      </c>
      <c r="I117" s="10">
        <v>1</v>
      </c>
      <c r="J117" s="9">
        <v>70000</v>
      </c>
      <c r="K117" s="9">
        <v>10744.913173215824</v>
      </c>
      <c r="L117" s="10">
        <v>12</v>
      </c>
      <c r="M117" s="10">
        <v>0</v>
      </c>
      <c r="N117" s="9">
        <v>0</v>
      </c>
      <c r="O117" s="9">
        <f t="shared" si="0"/>
        <v>1750</v>
      </c>
      <c r="P117" s="9">
        <f t="shared" si="1"/>
        <v>1400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spans="1:42" ht="13.2" x14ac:dyDescent="0.25">
      <c r="A118" s="3" t="s">
        <v>74</v>
      </c>
      <c r="B118" s="7">
        <v>43952</v>
      </c>
      <c r="C118" s="3" t="s">
        <v>36</v>
      </c>
      <c r="D118" s="8">
        <v>59.194616146296745</v>
      </c>
      <c r="E118" s="8">
        <v>131.82999616232189</v>
      </c>
      <c r="F118" s="9">
        <v>94558.992195339219</v>
      </c>
      <c r="G118" s="10">
        <v>-1</v>
      </c>
      <c r="H118" s="9">
        <v>80000</v>
      </c>
      <c r="I118" s="10">
        <v>1</v>
      </c>
      <c r="J118" s="9">
        <v>80000</v>
      </c>
      <c r="K118" s="9">
        <v>7471.1253968932579</v>
      </c>
      <c r="L118" s="10">
        <v>6</v>
      </c>
      <c r="M118" s="10">
        <v>0</v>
      </c>
      <c r="N118" s="9">
        <v>0</v>
      </c>
      <c r="O118" s="9">
        <f t="shared" si="0"/>
        <v>2000</v>
      </c>
      <c r="P118" s="9">
        <f t="shared" si="1"/>
        <v>1600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spans="1:42" ht="13.2" x14ac:dyDescent="0.25">
      <c r="A119" s="3" t="s">
        <v>92</v>
      </c>
      <c r="B119" s="7">
        <v>43952</v>
      </c>
      <c r="C119" s="3" t="s">
        <v>39</v>
      </c>
      <c r="D119" s="8">
        <v>77.696790579563242</v>
      </c>
      <c r="E119" s="8">
        <v>345.84421423647365</v>
      </c>
      <c r="F119" s="9">
        <v>59727.185677166126</v>
      </c>
      <c r="G119" s="10">
        <v>0</v>
      </c>
      <c r="H119" s="9">
        <v>40000</v>
      </c>
      <c r="I119" s="10">
        <v>0</v>
      </c>
      <c r="J119" s="9">
        <v>0</v>
      </c>
      <c r="K119" s="9">
        <v>0</v>
      </c>
      <c r="L119" s="10">
        <v>0</v>
      </c>
      <c r="M119" s="10">
        <v>0</v>
      </c>
      <c r="N119" s="9">
        <v>0</v>
      </c>
      <c r="O119" s="9">
        <f t="shared" si="0"/>
        <v>0</v>
      </c>
      <c r="P119" s="9">
        <f t="shared" si="1"/>
        <v>0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spans="1:42" ht="13.2" x14ac:dyDescent="0.25">
      <c r="A120" s="3" t="s">
        <v>118</v>
      </c>
      <c r="B120" s="7">
        <v>43952</v>
      </c>
      <c r="C120" s="3" t="s">
        <v>36</v>
      </c>
      <c r="D120" s="8">
        <v>76.451245389696851</v>
      </c>
      <c r="E120" s="8">
        <v>162.29477111446511</v>
      </c>
      <c r="F120" s="9">
        <v>62570.064237211162</v>
      </c>
      <c r="G120" s="10">
        <v>-1</v>
      </c>
      <c r="H120" s="9">
        <v>50000</v>
      </c>
      <c r="I120" s="10">
        <v>1</v>
      </c>
      <c r="J120" s="9">
        <v>50000</v>
      </c>
      <c r="K120" s="9">
        <v>3232.8664318795518</v>
      </c>
      <c r="L120" s="10">
        <v>6</v>
      </c>
      <c r="M120" s="10">
        <v>0</v>
      </c>
      <c r="N120" s="9">
        <v>0</v>
      </c>
      <c r="O120" s="9">
        <f t="shared" si="0"/>
        <v>1250</v>
      </c>
      <c r="P120" s="9">
        <f t="shared" si="1"/>
        <v>1000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spans="1:42" ht="13.2" x14ac:dyDescent="0.25">
      <c r="A121" s="3" t="s">
        <v>119</v>
      </c>
      <c r="B121" s="7">
        <v>43952</v>
      </c>
      <c r="C121" s="3" t="s">
        <v>36</v>
      </c>
      <c r="D121" s="8">
        <v>47.285104793761008</v>
      </c>
      <c r="E121" s="8">
        <v>215.24667248743899</v>
      </c>
      <c r="F121" s="9">
        <v>106909.68822586341</v>
      </c>
      <c r="G121" s="10">
        <v>1</v>
      </c>
      <c r="H121" s="9">
        <v>140000</v>
      </c>
      <c r="I121" s="10">
        <v>0</v>
      </c>
      <c r="J121" s="9">
        <v>0</v>
      </c>
      <c r="K121" s="9">
        <v>0</v>
      </c>
      <c r="L121" s="10">
        <v>0</v>
      </c>
      <c r="M121" s="10">
        <v>0</v>
      </c>
      <c r="N121" s="9">
        <v>0</v>
      </c>
      <c r="O121" s="9">
        <f t="shared" si="0"/>
        <v>0</v>
      </c>
      <c r="P121" s="9">
        <f t="shared" si="1"/>
        <v>0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spans="1:42" ht="13.2" x14ac:dyDescent="0.25">
      <c r="A122" s="3" t="s">
        <v>68</v>
      </c>
      <c r="B122" s="7">
        <v>43952</v>
      </c>
      <c r="C122" s="3" t="s">
        <v>39</v>
      </c>
      <c r="D122" s="8">
        <v>44.77684112838071</v>
      </c>
      <c r="E122" s="8">
        <v>96.958067305251532</v>
      </c>
      <c r="F122" s="9">
        <v>500617.86047498358</v>
      </c>
      <c r="G122" s="10">
        <v>1</v>
      </c>
      <c r="H122" s="9">
        <v>500000</v>
      </c>
      <c r="I122" s="10">
        <v>1</v>
      </c>
      <c r="J122" s="9">
        <v>500000</v>
      </c>
      <c r="K122" s="9">
        <v>8855.0140561041244</v>
      </c>
      <c r="L122" s="10">
        <v>6</v>
      </c>
      <c r="M122" s="10">
        <v>0</v>
      </c>
      <c r="N122" s="9">
        <v>0</v>
      </c>
      <c r="O122" s="9">
        <f t="shared" si="0"/>
        <v>12500</v>
      </c>
      <c r="P122" s="9">
        <f t="shared" si="1"/>
        <v>10000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spans="1:42" ht="13.2" x14ac:dyDescent="0.25">
      <c r="A123" s="3" t="s">
        <v>120</v>
      </c>
      <c r="B123" s="7">
        <v>43952</v>
      </c>
      <c r="C123" s="3" t="s">
        <v>36</v>
      </c>
      <c r="D123" s="8">
        <v>5.8785432939729185</v>
      </c>
      <c r="E123" s="8">
        <v>258.22852179814942</v>
      </c>
      <c r="F123" s="9">
        <v>222161.51767813717</v>
      </c>
      <c r="G123" s="10">
        <v>1</v>
      </c>
      <c r="H123" s="9">
        <v>140000</v>
      </c>
      <c r="I123" s="10">
        <v>1</v>
      </c>
      <c r="J123" s="9">
        <v>140000</v>
      </c>
      <c r="K123" s="9">
        <v>12120.387489173963</v>
      </c>
      <c r="L123" s="10">
        <v>6</v>
      </c>
      <c r="M123" s="10">
        <v>0</v>
      </c>
      <c r="N123" s="9">
        <v>0</v>
      </c>
      <c r="O123" s="9">
        <f t="shared" si="0"/>
        <v>3500</v>
      </c>
      <c r="P123" s="9">
        <f t="shared" si="1"/>
        <v>2800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spans="1:42" ht="13.2" x14ac:dyDescent="0.25">
      <c r="A124" s="3" t="s">
        <v>121</v>
      </c>
      <c r="B124" s="7">
        <v>43952</v>
      </c>
      <c r="C124" s="3" t="s">
        <v>39</v>
      </c>
      <c r="D124" s="8">
        <v>7.7069057593311294</v>
      </c>
      <c r="E124" s="8">
        <v>243.21493091057093</v>
      </c>
      <c r="F124" s="9">
        <v>14901.882802557873</v>
      </c>
      <c r="G124" s="10">
        <v>1</v>
      </c>
      <c r="H124" s="9">
        <v>10000</v>
      </c>
      <c r="I124" s="10">
        <v>0</v>
      </c>
      <c r="J124" s="9">
        <v>0</v>
      </c>
      <c r="K124" s="9">
        <v>0</v>
      </c>
      <c r="L124" s="10">
        <v>0</v>
      </c>
      <c r="M124" s="10">
        <v>0</v>
      </c>
      <c r="N124" s="9">
        <v>0</v>
      </c>
      <c r="O124" s="9">
        <f t="shared" si="0"/>
        <v>0</v>
      </c>
      <c r="P124" s="9">
        <f t="shared" si="1"/>
        <v>0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spans="1:42" ht="13.2" x14ac:dyDescent="0.25">
      <c r="A125" s="3" t="s">
        <v>37</v>
      </c>
      <c r="B125" s="7">
        <v>43952</v>
      </c>
      <c r="C125" s="3" t="s">
        <v>36</v>
      </c>
      <c r="D125" s="8">
        <v>92.096661050999344</v>
      </c>
      <c r="E125" s="8">
        <v>120.99750459979563</v>
      </c>
      <c r="F125" s="9">
        <v>316972.58292044775</v>
      </c>
      <c r="G125" s="10">
        <v>-1</v>
      </c>
      <c r="H125" s="9">
        <v>210000</v>
      </c>
      <c r="I125" s="10">
        <v>1</v>
      </c>
      <c r="J125" s="9">
        <v>210000</v>
      </c>
      <c r="K125" s="9">
        <v>10608.077344915833</v>
      </c>
      <c r="L125" s="10">
        <v>8</v>
      </c>
      <c r="M125" s="10">
        <v>0</v>
      </c>
      <c r="N125" s="9">
        <v>0</v>
      </c>
      <c r="O125" s="9">
        <f t="shared" si="0"/>
        <v>5250</v>
      </c>
      <c r="P125" s="9">
        <f t="shared" si="1"/>
        <v>4200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spans="1:42" ht="13.2" x14ac:dyDescent="0.25">
      <c r="A126" s="3" t="s">
        <v>67</v>
      </c>
      <c r="B126" s="7">
        <v>43952</v>
      </c>
      <c r="C126" s="3" t="s">
        <v>36</v>
      </c>
      <c r="D126" s="8">
        <v>23.780284358941508</v>
      </c>
      <c r="E126" s="8">
        <v>209.38259237617842</v>
      </c>
      <c r="F126" s="9">
        <v>250893.0706743761</v>
      </c>
      <c r="G126" s="10">
        <v>0</v>
      </c>
      <c r="H126" s="9">
        <v>320000</v>
      </c>
      <c r="I126" s="10">
        <v>1</v>
      </c>
      <c r="J126" s="9">
        <v>320000</v>
      </c>
      <c r="K126" s="9">
        <v>39328.918368929335</v>
      </c>
      <c r="L126" s="10">
        <v>6</v>
      </c>
      <c r="M126" s="10">
        <v>1</v>
      </c>
      <c r="N126" s="9">
        <v>131406.64916354592</v>
      </c>
      <c r="O126" s="9">
        <f t="shared" si="0"/>
        <v>8000</v>
      </c>
      <c r="P126" s="9">
        <f t="shared" si="1"/>
        <v>6400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spans="1:42" ht="13.2" x14ac:dyDescent="0.25">
      <c r="A127" s="3" t="s">
        <v>83</v>
      </c>
      <c r="B127" s="7">
        <v>43952</v>
      </c>
      <c r="C127" s="3" t="s">
        <v>36</v>
      </c>
      <c r="D127" s="8">
        <v>8.6690990304464108</v>
      </c>
      <c r="E127" s="8">
        <v>361.67707686693592</v>
      </c>
      <c r="F127" s="9">
        <v>60603.590223576946</v>
      </c>
      <c r="G127" s="10">
        <v>0</v>
      </c>
      <c r="H127" s="9">
        <v>40000</v>
      </c>
      <c r="I127" s="10">
        <v>0</v>
      </c>
      <c r="J127" s="9">
        <v>0</v>
      </c>
      <c r="K127" s="9">
        <v>0</v>
      </c>
      <c r="L127" s="10">
        <v>0</v>
      </c>
      <c r="M127" s="10">
        <v>0</v>
      </c>
      <c r="N127" s="9">
        <v>0</v>
      </c>
      <c r="O127" s="9">
        <f t="shared" si="0"/>
        <v>0</v>
      </c>
      <c r="P127" s="9">
        <f t="shared" si="1"/>
        <v>0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spans="1:42" ht="13.2" x14ac:dyDescent="0.25">
      <c r="A128" s="3" t="s">
        <v>122</v>
      </c>
      <c r="B128" s="7">
        <v>43952</v>
      </c>
      <c r="C128" s="3" t="s">
        <v>36</v>
      </c>
      <c r="D128" s="8">
        <v>9.5470724813875574</v>
      </c>
      <c r="E128" s="8">
        <v>219.5746719822809</v>
      </c>
      <c r="F128" s="9">
        <v>10430.99001634727</v>
      </c>
      <c r="G128" s="10">
        <v>0</v>
      </c>
      <c r="H128" s="9">
        <v>10000</v>
      </c>
      <c r="I128" s="10">
        <v>1</v>
      </c>
      <c r="J128" s="9">
        <v>10000</v>
      </c>
      <c r="K128" s="9">
        <v>1141.3669160534666</v>
      </c>
      <c r="L128" s="10">
        <v>6</v>
      </c>
      <c r="M128" s="10">
        <v>0</v>
      </c>
      <c r="N128" s="9">
        <v>0</v>
      </c>
      <c r="O128" s="9">
        <f t="shared" si="0"/>
        <v>250</v>
      </c>
      <c r="P128" s="9">
        <f t="shared" si="1"/>
        <v>200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spans="1:42" ht="13.2" x14ac:dyDescent="0.25">
      <c r="A129" s="3" t="s">
        <v>123</v>
      </c>
      <c r="B129" s="7">
        <v>43952</v>
      </c>
      <c r="C129" s="3" t="s">
        <v>39</v>
      </c>
      <c r="D129" s="8">
        <v>16.909080425552901</v>
      </c>
      <c r="E129" s="8">
        <v>361.30709548574254</v>
      </c>
      <c r="F129" s="9">
        <v>14338.027927598388</v>
      </c>
      <c r="G129" s="10">
        <v>-1</v>
      </c>
      <c r="H129" s="9">
        <v>10000</v>
      </c>
      <c r="I129" s="10">
        <v>1</v>
      </c>
      <c r="J129" s="9">
        <v>10000</v>
      </c>
      <c r="K129" s="9">
        <v>802.68539142660313</v>
      </c>
      <c r="L129" s="10">
        <v>6</v>
      </c>
      <c r="M129" s="10">
        <v>0</v>
      </c>
      <c r="N129" s="9">
        <v>0</v>
      </c>
      <c r="O129" s="9">
        <f t="shared" si="0"/>
        <v>250</v>
      </c>
      <c r="P129" s="9">
        <f t="shared" si="1"/>
        <v>200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spans="1:42" ht="13.2" x14ac:dyDescent="0.25">
      <c r="A130" s="3" t="s">
        <v>124</v>
      </c>
      <c r="B130" s="7">
        <v>43952</v>
      </c>
      <c r="C130" s="3" t="s">
        <v>36</v>
      </c>
      <c r="D130" s="8">
        <v>45.029855820341837</v>
      </c>
      <c r="E130" s="8">
        <v>187.07805966935769</v>
      </c>
      <c r="F130" s="9">
        <v>906921.02036256494</v>
      </c>
      <c r="G130" s="10">
        <v>-1</v>
      </c>
      <c r="H130" s="9">
        <v>1290000</v>
      </c>
      <c r="I130" s="10">
        <v>1</v>
      </c>
      <c r="J130" s="9">
        <v>1290000</v>
      </c>
      <c r="K130" s="9">
        <v>47685.304485421773</v>
      </c>
      <c r="L130" s="10">
        <v>6</v>
      </c>
      <c r="M130" s="10">
        <v>1</v>
      </c>
      <c r="N130" s="9">
        <v>639975.90242503467</v>
      </c>
      <c r="O130" s="9">
        <f t="shared" si="0"/>
        <v>32250</v>
      </c>
      <c r="P130" s="9">
        <f t="shared" si="1"/>
        <v>25800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spans="1:42" ht="13.2" x14ac:dyDescent="0.25">
      <c r="A131" s="3" t="s">
        <v>125</v>
      </c>
      <c r="B131" s="7">
        <v>43952</v>
      </c>
      <c r="C131" s="3" t="s">
        <v>36</v>
      </c>
      <c r="D131" s="8">
        <v>46.258687015109274</v>
      </c>
      <c r="E131" s="8">
        <v>188.33300360870635</v>
      </c>
      <c r="F131" s="9">
        <v>41931.123542619745</v>
      </c>
      <c r="G131" s="10">
        <v>-1</v>
      </c>
      <c r="H131" s="9">
        <v>60000</v>
      </c>
      <c r="I131" s="10">
        <v>0</v>
      </c>
      <c r="J131" s="9">
        <v>0</v>
      </c>
      <c r="K131" s="9">
        <v>0</v>
      </c>
      <c r="L131" s="10">
        <v>0</v>
      </c>
      <c r="M131" s="10">
        <v>0</v>
      </c>
      <c r="N131" s="9">
        <v>0</v>
      </c>
      <c r="O131" s="9">
        <f t="shared" si="0"/>
        <v>0</v>
      </c>
      <c r="P131" s="9">
        <f t="shared" si="1"/>
        <v>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spans="1:42" ht="13.2" x14ac:dyDescent="0.25">
      <c r="A132" s="3" t="s">
        <v>126</v>
      </c>
      <c r="B132" s="7">
        <v>43952</v>
      </c>
      <c r="C132" s="3" t="s">
        <v>39</v>
      </c>
      <c r="D132" s="8">
        <v>7.6230914294110139</v>
      </c>
      <c r="E132" s="8">
        <v>88.298294481825451</v>
      </c>
      <c r="F132" s="9">
        <v>5219.4777788364554</v>
      </c>
      <c r="G132" s="10">
        <v>1</v>
      </c>
      <c r="H132" s="9">
        <v>10000</v>
      </c>
      <c r="I132" s="10">
        <v>1</v>
      </c>
      <c r="J132" s="9">
        <v>10000</v>
      </c>
      <c r="K132" s="9">
        <v>520.11510516974158</v>
      </c>
      <c r="L132" s="10">
        <v>6</v>
      </c>
      <c r="M132" s="10">
        <v>0</v>
      </c>
      <c r="N132" s="9">
        <v>0</v>
      </c>
      <c r="O132" s="9">
        <f t="shared" si="0"/>
        <v>250</v>
      </c>
      <c r="P132" s="9">
        <f t="shared" si="1"/>
        <v>200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spans="1:42" ht="13.2" x14ac:dyDescent="0.25">
      <c r="A133" s="3" t="s">
        <v>127</v>
      </c>
      <c r="B133" s="7">
        <v>43952</v>
      </c>
      <c r="C133" s="3" t="s">
        <v>36</v>
      </c>
      <c r="D133" s="8">
        <v>3</v>
      </c>
      <c r="E133" s="8">
        <v>248.98589867352408</v>
      </c>
      <c r="F133" s="9">
        <v>9801.7461992832468</v>
      </c>
      <c r="G133" s="10">
        <v>-1</v>
      </c>
      <c r="H133" s="9">
        <v>6000</v>
      </c>
      <c r="I133" s="10">
        <v>0</v>
      </c>
      <c r="J133" s="9">
        <v>0</v>
      </c>
      <c r="K133" s="9">
        <v>0</v>
      </c>
      <c r="L133" s="10">
        <v>0</v>
      </c>
      <c r="M133" s="10">
        <v>0</v>
      </c>
      <c r="N133" s="9">
        <v>0</v>
      </c>
      <c r="O133" s="9">
        <f t="shared" si="0"/>
        <v>0</v>
      </c>
      <c r="P133" s="9">
        <f t="shared" si="1"/>
        <v>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spans="1:42" ht="13.2" x14ac:dyDescent="0.25">
      <c r="A134" s="3" t="s">
        <v>128</v>
      </c>
      <c r="B134" s="7">
        <v>43952</v>
      </c>
      <c r="C134" s="3" t="s">
        <v>63</v>
      </c>
      <c r="D134" s="8">
        <v>3</v>
      </c>
      <c r="E134" s="8">
        <v>331.03623394103823</v>
      </c>
      <c r="F134" s="9">
        <v>260770.66831702643</v>
      </c>
      <c r="G134" s="10">
        <v>0</v>
      </c>
      <c r="H134" s="9">
        <v>360000</v>
      </c>
      <c r="I134" s="10">
        <v>1</v>
      </c>
      <c r="J134" s="9">
        <v>360000</v>
      </c>
      <c r="K134" s="9">
        <v>40102.750548457421</v>
      </c>
      <c r="L134" s="10">
        <v>7</v>
      </c>
      <c r="M134" s="10">
        <v>0</v>
      </c>
      <c r="N134" s="9">
        <v>0</v>
      </c>
      <c r="O134" s="9">
        <f t="shared" si="0"/>
        <v>9000</v>
      </c>
      <c r="P134" s="9">
        <f t="shared" si="1"/>
        <v>7200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spans="1:42" ht="13.2" x14ac:dyDescent="0.25">
      <c r="A135" s="3" t="s">
        <v>129</v>
      </c>
      <c r="B135" s="7">
        <v>43952</v>
      </c>
      <c r="C135" s="3" t="s">
        <v>39</v>
      </c>
      <c r="D135" s="8">
        <v>47.757964095716815</v>
      </c>
      <c r="E135" s="8">
        <v>321.50263941613122</v>
      </c>
      <c r="F135" s="9">
        <v>261195.54458907867</v>
      </c>
      <c r="G135" s="10">
        <v>0</v>
      </c>
      <c r="H135" s="9">
        <v>170000</v>
      </c>
      <c r="I135" s="10">
        <v>0</v>
      </c>
      <c r="J135" s="9">
        <v>0</v>
      </c>
      <c r="K135" s="9">
        <v>0</v>
      </c>
      <c r="L135" s="10">
        <v>0</v>
      </c>
      <c r="M135" s="10">
        <v>0</v>
      </c>
      <c r="N135" s="9">
        <v>0</v>
      </c>
      <c r="O135" s="9">
        <f t="shared" si="0"/>
        <v>0</v>
      </c>
      <c r="P135" s="9">
        <f t="shared" si="1"/>
        <v>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spans="1:42" ht="13.2" x14ac:dyDescent="0.25">
      <c r="A136" s="3" t="s">
        <v>130</v>
      </c>
      <c r="B136" s="7">
        <v>43952</v>
      </c>
      <c r="C136" s="3" t="s">
        <v>36</v>
      </c>
      <c r="D136" s="8">
        <v>50.090210918707946</v>
      </c>
      <c r="E136" s="8">
        <v>107.24080718686743</v>
      </c>
      <c r="F136" s="9">
        <v>28558.052570694912</v>
      </c>
      <c r="G136" s="10">
        <v>1</v>
      </c>
      <c r="H136" s="9">
        <v>40000</v>
      </c>
      <c r="I136" s="10">
        <v>0</v>
      </c>
      <c r="J136" s="9">
        <v>0</v>
      </c>
      <c r="K136" s="9">
        <v>0</v>
      </c>
      <c r="L136" s="10">
        <v>0</v>
      </c>
      <c r="M136" s="10">
        <v>0</v>
      </c>
      <c r="N136" s="9">
        <v>0</v>
      </c>
      <c r="O136" s="9">
        <f t="shared" si="0"/>
        <v>0</v>
      </c>
      <c r="P136" s="9">
        <f t="shared" si="1"/>
        <v>0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spans="1:42" ht="13.2" x14ac:dyDescent="0.25">
      <c r="A137" s="3" t="s">
        <v>131</v>
      </c>
      <c r="B137" s="7">
        <v>43983</v>
      </c>
      <c r="C137" s="3" t="s">
        <v>36</v>
      </c>
      <c r="D137" s="8">
        <v>11.804681575983807</v>
      </c>
      <c r="E137" s="8">
        <v>278.47814521705141</v>
      </c>
      <c r="F137" s="9">
        <v>138333.93445977228</v>
      </c>
      <c r="G137" s="10">
        <v>1</v>
      </c>
      <c r="H137" s="9">
        <v>100000</v>
      </c>
      <c r="I137" s="10">
        <v>1</v>
      </c>
      <c r="J137" s="9">
        <v>100000</v>
      </c>
      <c r="K137" s="9">
        <v>7539.2742660335907</v>
      </c>
      <c r="L137" s="10">
        <v>6</v>
      </c>
      <c r="M137" s="10">
        <v>0</v>
      </c>
      <c r="N137" s="9">
        <v>0</v>
      </c>
      <c r="O137" s="9">
        <f t="shared" si="0"/>
        <v>2500</v>
      </c>
      <c r="P137" s="9">
        <f t="shared" si="1"/>
        <v>2000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spans="1:42" ht="13.2" x14ac:dyDescent="0.25">
      <c r="A138" s="3" t="s">
        <v>132</v>
      </c>
      <c r="B138" s="7">
        <v>43983</v>
      </c>
      <c r="C138" s="3" t="s">
        <v>36</v>
      </c>
      <c r="D138" s="8">
        <v>75.166966395247158</v>
      </c>
      <c r="E138" s="8">
        <v>128.34312821163803</v>
      </c>
      <c r="F138" s="9">
        <v>163132.50694745293</v>
      </c>
      <c r="G138" s="10">
        <v>-1</v>
      </c>
      <c r="H138" s="9">
        <v>110000</v>
      </c>
      <c r="I138" s="10">
        <v>1</v>
      </c>
      <c r="J138" s="9">
        <v>110000</v>
      </c>
      <c r="K138" s="9">
        <v>9746.6417532503838</v>
      </c>
      <c r="L138" s="10">
        <v>6</v>
      </c>
      <c r="M138" s="10">
        <v>0</v>
      </c>
      <c r="N138" s="9">
        <v>0</v>
      </c>
      <c r="O138" s="9">
        <f t="shared" si="0"/>
        <v>2750</v>
      </c>
      <c r="P138" s="9">
        <f t="shared" si="1"/>
        <v>2200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spans="1:42" ht="13.2" x14ac:dyDescent="0.25">
      <c r="A139" s="3" t="s">
        <v>133</v>
      </c>
      <c r="B139" s="7">
        <v>43983</v>
      </c>
      <c r="C139" s="3" t="s">
        <v>36</v>
      </c>
      <c r="D139" s="8">
        <v>30.283020522711819</v>
      </c>
      <c r="E139" s="8">
        <v>257.81684138498065</v>
      </c>
      <c r="F139" s="9">
        <v>7367.1063264188779</v>
      </c>
      <c r="G139" s="10">
        <v>-1</v>
      </c>
      <c r="H139" s="9">
        <v>10000</v>
      </c>
      <c r="I139" s="10">
        <v>0</v>
      </c>
      <c r="J139" s="9">
        <v>0</v>
      </c>
      <c r="K139" s="9">
        <v>0</v>
      </c>
      <c r="L139" s="10">
        <v>0</v>
      </c>
      <c r="M139" s="10">
        <v>0</v>
      </c>
      <c r="N139" s="9">
        <v>0</v>
      </c>
      <c r="O139" s="9">
        <f t="shared" si="0"/>
        <v>0</v>
      </c>
      <c r="P139" s="9">
        <f t="shared" si="1"/>
        <v>0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spans="1:42" ht="13.2" x14ac:dyDescent="0.25">
      <c r="A140" s="3" t="s">
        <v>134</v>
      </c>
      <c r="B140" s="7">
        <v>43983</v>
      </c>
      <c r="C140" s="3" t="s">
        <v>36</v>
      </c>
      <c r="D140" s="8">
        <v>77.098639702636163</v>
      </c>
      <c r="E140" s="8">
        <v>90.131891742191328</v>
      </c>
      <c r="F140" s="9">
        <v>234762.10156881777</v>
      </c>
      <c r="G140" s="10">
        <v>0</v>
      </c>
      <c r="H140" s="9">
        <v>360000</v>
      </c>
      <c r="I140" s="10">
        <v>0</v>
      </c>
      <c r="J140" s="9">
        <v>0</v>
      </c>
      <c r="K140" s="9">
        <v>0</v>
      </c>
      <c r="L140" s="10">
        <v>0</v>
      </c>
      <c r="M140" s="10">
        <v>0</v>
      </c>
      <c r="N140" s="9">
        <v>0</v>
      </c>
      <c r="O140" s="9">
        <f t="shared" si="0"/>
        <v>0</v>
      </c>
      <c r="P140" s="9">
        <f t="shared" si="1"/>
        <v>0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spans="1:42" ht="13.2" x14ac:dyDescent="0.25">
      <c r="A141" s="3" t="s">
        <v>103</v>
      </c>
      <c r="B141" s="7">
        <v>43983</v>
      </c>
      <c r="C141" s="3" t="s">
        <v>36</v>
      </c>
      <c r="D141" s="8">
        <v>12.560683693754477</v>
      </c>
      <c r="E141" s="8">
        <v>179.36552489830882</v>
      </c>
      <c r="F141" s="9">
        <v>66366.118152180279</v>
      </c>
      <c r="G141" s="10">
        <v>1</v>
      </c>
      <c r="H141" s="9">
        <v>80000</v>
      </c>
      <c r="I141" s="10">
        <v>1</v>
      </c>
      <c r="J141" s="9">
        <v>80000</v>
      </c>
      <c r="K141" s="9">
        <v>8492.2966306441722</v>
      </c>
      <c r="L141" s="10">
        <v>6</v>
      </c>
      <c r="M141" s="10">
        <v>0</v>
      </c>
      <c r="N141" s="9">
        <v>0</v>
      </c>
      <c r="O141" s="9">
        <f t="shared" si="0"/>
        <v>2000</v>
      </c>
      <c r="P141" s="9">
        <f t="shared" si="1"/>
        <v>1600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spans="1:42" ht="13.2" x14ac:dyDescent="0.25">
      <c r="A142" s="3" t="s">
        <v>120</v>
      </c>
      <c r="B142" s="7">
        <v>43983</v>
      </c>
      <c r="C142" s="3" t="s">
        <v>36</v>
      </c>
      <c r="D142" s="8">
        <v>8.4865747417757404</v>
      </c>
      <c r="E142" s="8">
        <v>325.46758464030199</v>
      </c>
      <c r="F142" s="9">
        <v>136411.10339167231</v>
      </c>
      <c r="G142" s="10">
        <v>1</v>
      </c>
      <c r="H142" s="9">
        <v>90000</v>
      </c>
      <c r="I142" s="10">
        <v>1</v>
      </c>
      <c r="J142" s="9">
        <v>90000</v>
      </c>
      <c r="K142" s="9">
        <v>3391.908894401729</v>
      </c>
      <c r="L142" s="10">
        <v>5</v>
      </c>
      <c r="M142" s="10">
        <v>0</v>
      </c>
      <c r="N142" s="9">
        <v>0</v>
      </c>
      <c r="O142" s="9">
        <f t="shared" si="0"/>
        <v>2250</v>
      </c>
      <c r="P142" s="9">
        <f t="shared" si="1"/>
        <v>1800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spans="1:42" ht="13.2" x14ac:dyDescent="0.25">
      <c r="A143" s="3" t="s">
        <v>73</v>
      </c>
      <c r="B143" s="7">
        <v>43983</v>
      </c>
      <c r="C143" s="3" t="s">
        <v>39</v>
      </c>
      <c r="D143" s="8">
        <v>132.27475229766881</v>
      </c>
      <c r="E143" s="8">
        <v>299.49677993470505</v>
      </c>
      <c r="F143" s="9">
        <v>225368.27554930374</v>
      </c>
      <c r="G143" s="10">
        <v>1</v>
      </c>
      <c r="H143" s="9">
        <v>150000</v>
      </c>
      <c r="I143" s="10">
        <v>1</v>
      </c>
      <c r="J143" s="9">
        <v>150000</v>
      </c>
      <c r="K143" s="9">
        <v>12082.076626242006</v>
      </c>
      <c r="L143" s="10">
        <v>6</v>
      </c>
      <c r="M143" s="10">
        <v>0</v>
      </c>
      <c r="N143" s="9">
        <v>0</v>
      </c>
      <c r="O143" s="9">
        <f t="shared" si="0"/>
        <v>3750</v>
      </c>
      <c r="P143" s="9">
        <f t="shared" si="1"/>
        <v>3000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spans="1:42" ht="13.2" x14ac:dyDescent="0.25">
      <c r="A144" s="3" t="s">
        <v>135</v>
      </c>
      <c r="B144" s="7">
        <v>43983</v>
      </c>
      <c r="C144" s="3" t="s">
        <v>39</v>
      </c>
      <c r="D144" s="8">
        <v>3</v>
      </c>
      <c r="E144" s="8">
        <v>233.46466388117548</v>
      </c>
      <c r="F144" s="9">
        <v>7593.0818948470014</v>
      </c>
      <c r="G144" s="10">
        <v>0</v>
      </c>
      <c r="H144" s="9">
        <v>5000</v>
      </c>
      <c r="I144" s="10">
        <v>0</v>
      </c>
      <c r="J144" s="9">
        <v>0</v>
      </c>
      <c r="K144" s="9">
        <v>0</v>
      </c>
      <c r="L144" s="10">
        <v>0</v>
      </c>
      <c r="M144" s="10">
        <v>0</v>
      </c>
      <c r="N144" s="9">
        <v>0</v>
      </c>
      <c r="O144" s="9">
        <f t="shared" si="0"/>
        <v>0</v>
      </c>
      <c r="P144" s="9">
        <f t="shared" si="1"/>
        <v>0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spans="1:42" ht="13.2" x14ac:dyDescent="0.25">
      <c r="A145" s="3" t="s">
        <v>78</v>
      </c>
      <c r="B145" s="7">
        <v>43983</v>
      </c>
      <c r="C145" s="3" t="s">
        <v>36</v>
      </c>
      <c r="D145" s="8">
        <v>53.014804764195944</v>
      </c>
      <c r="E145" s="8">
        <v>69.074335070839027</v>
      </c>
      <c r="F145" s="9">
        <v>117753.72987636583</v>
      </c>
      <c r="G145" s="10">
        <v>0</v>
      </c>
      <c r="H145" s="9">
        <v>160000</v>
      </c>
      <c r="I145" s="10">
        <v>1</v>
      </c>
      <c r="J145" s="9">
        <v>160000</v>
      </c>
      <c r="K145" s="9">
        <v>2683.6588324605814</v>
      </c>
      <c r="L145" s="10">
        <v>6</v>
      </c>
      <c r="M145" s="10">
        <v>1</v>
      </c>
      <c r="N145" s="9">
        <v>70343</v>
      </c>
      <c r="O145" s="9">
        <f t="shared" si="0"/>
        <v>4000</v>
      </c>
      <c r="P145" s="9">
        <f t="shared" si="1"/>
        <v>3200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spans="1:42" ht="13.2" x14ac:dyDescent="0.25">
      <c r="A146" s="3" t="s">
        <v>136</v>
      </c>
      <c r="B146" s="7">
        <v>43983</v>
      </c>
      <c r="C146" s="3" t="s">
        <v>63</v>
      </c>
      <c r="D146" s="8">
        <v>101.43833644571208</v>
      </c>
      <c r="E146" s="8">
        <v>292.98049511458555</v>
      </c>
      <c r="F146" s="9">
        <v>503851.5596693838</v>
      </c>
      <c r="G146" s="10">
        <v>0</v>
      </c>
      <c r="H146" s="9">
        <v>350000</v>
      </c>
      <c r="I146" s="10">
        <v>0</v>
      </c>
      <c r="J146" s="9">
        <v>0</v>
      </c>
      <c r="K146" s="9">
        <v>0</v>
      </c>
      <c r="L146" s="10">
        <v>0</v>
      </c>
      <c r="M146" s="10">
        <v>0</v>
      </c>
      <c r="N146" s="9">
        <v>0</v>
      </c>
      <c r="O146" s="9">
        <f t="shared" si="0"/>
        <v>0</v>
      </c>
      <c r="P146" s="9">
        <f t="shared" si="1"/>
        <v>0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spans="1:42" ht="13.2" x14ac:dyDescent="0.25">
      <c r="A147" s="3" t="s">
        <v>137</v>
      </c>
      <c r="B147" s="7">
        <v>43983</v>
      </c>
      <c r="C147" s="3" t="s">
        <v>36</v>
      </c>
      <c r="D147" s="8">
        <v>40.137960072191134</v>
      </c>
      <c r="E147" s="8">
        <v>92.195823925333144</v>
      </c>
      <c r="F147" s="9">
        <v>321777.00511807675</v>
      </c>
      <c r="G147" s="10">
        <v>1</v>
      </c>
      <c r="H147" s="9">
        <v>450000</v>
      </c>
      <c r="I147" s="10">
        <v>1</v>
      </c>
      <c r="J147" s="9">
        <v>450000</v>
      </c>
      <c r="K147" s="9">
        <v>28797.5477878485</v>
      </c>
      <c r="L147" s="10">
        <v>6</v>
      </c>
      <c r="M147" s="10">
        <v>0</v>
      </c>
      <c r="N147" s="9">
        <v>0</v>
      </c>
      <c r="O147" s="9">
        <f t="shared" si="0"/>
        <v>11250</v>
      </c>
      <c r="P147" s="9">
        <f t="shared" si="1"/>
        <v>9000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spans="1:42" ht="13.2" x14ac:dyDescent="0.25">
      <c r="A148" s="3" t="s">
        <v>138</v>
      </c>
      <c r="B148" s="7">
        <v>43983</v>
      </c>
      <c r="C148" s="3" t="s">
        <v>39</v>
      </c>
      <c r="D148" s="8">
        <v>111.88473920516216</v>
      </c>
      <c r="E148" s="8">
        <v>119.84398703770782</v>
      </c>
      <c r="F148" s="9">
        <v>262155.04181464785</v>
      </c>
      <c r="G148" s="10">
        <v>-1</v>
      </c>
      <c r="H148" s="9">
        <v>170000</v>
      </c>
      <c r="I148" s="10">
        <v>1</v>
      </c>
      <c r="J148" s="9">
        <v>170000</v>
      </c>
      <c r="K148" s="9">
        <v>12701.848489073556</v>
      </c>
      <c r="L148" s="10">
        <v>6</v>
      </c>
      <c r="M148" s="10">
        <v>0</v>
      </c>
      <c r="N148" s="9">
        <v>0</v>
      </c>
      <c r="O148" s="9">
        <f t="shared" si="0"/>
        <v>4250</v>
      </c>
      <c r="P148" s="9">
        <f t="shared" si="1"/>
        <v>3400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spans="1:42" ht="13.2" x14ac:dyDescent="0.25">
      <c r="A149" s="3" t="s">
        <v>117</v>
      </c>
      <c r="B149" s="7">
        <v>43983</v>
      </c>
      <c r="C149" s="3" t="s">
        <v>36</v>
      </c>
      <c r="D149" s="8">
        <v>14.065483149644709</v>
      </c>
      <c r="E149" s="8">
        <v>134.67355795048553</v>
      </c>
      <c r="F149" s="9">
        <v>6202.0933138463715</v>
      </c>
      <c r="G149" s="10">
        <v>-1</v>
      </c>
      <c r="H149" s="9">
        <v>10000</v>
      </c>
      <c r="I149" s="10">
        <v>1</v>
      </c>
      <c r="J149" s="9">
        <v>10000</v>
      </c>
      <c r="K149" s="9">
        <v>563.69492660128572</v>
      </c>
      <c r="L149" s="10">
        <v>6</v>
      </c>
      <c r="M149" s="10">
        <v>0</v>
      </c>
      <c r="N149" s="9">
        <v>0</v>
      </c>
      <c r="O149" s="9">
        <f t="shared" si="0"/>
        <v>250</v>
      </c>
      <c r="P149" s="9">
        <f t="shared" si="1"/>
        <v>200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spans="1:42" ht="13.2" x14ac:dyDescent="0.25">
      <c r="A150" s="3" t="s">
        <v>139</v>
      </c>
      <c r="B150" s="7">
        <v>43983</v>
      </c>
      <c r="C150" s="3" t="s">
        <v>36</v>
      </c>
      <c r="D150" s="8">
        <v>43.422324968801696</v>
      </c>
      <c r="E150" s="8">
        <v>238.41472479424851</v>
      </c>
      <c r="F150" s="9">
        <v>198930.95262421988</v>
      </c>
      <c r="G150" s="10">
        <v>1</v>
      </c>
      <c r="H150" s="9">
        <v>210000</v>
      </c>
      <c r="I150" s="10">
        <v>1</v>
      </c>
      <c r="J150" s="9">
        <v>210000</v>
      </c>
      <c r="K150" s="9">
        <v>22357.539937715796</v>
      </c>
      <c r="L150" s="10">
        <v>6</v>
      </c>
      <c r="M150" s="10">
        <v>0</v>
      </c>
      <c r="N150" s="9">
        <v>0</v>
      </c>
      <c r="O150" s="9">
        <f t="shared" si="0"/>
        <v>5250</v>
      </c>
      <c r="P150" s="9">
        <f t="shared" si="1"/>
        <v>4200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spans="1:42" ht="13.2" x14ac:dyDescent="0.25">
      <c r="A151" s="3" t="s">
        <v>37</v>
      </c>
      <c r="B151" s="7">
        <v>43983</v>
      </c>
      <c r="C151" s="3" t="s">
        <v>36</v>
      </c>
      <c r="D151" s="8">
        <v>94.974601691608058</v>
      </c>
      <c r="E151" s="8">
        <v>243.10166630478909</v>
      </c>
      <c r="F151" s="9">
        <v>413870.66620230954</v>
      </c>
      <c r="G151" s="10">
        <v>1</v>
      </c>
      <c r="H151" s="9">
        <v>270000</v>
      </c>
      <c r="I151" s="10">
        <v>1</v>
      </c>
      <c r="J151" s="9">
        <v>270000</v>
      </c>
      <c r="K151" s="9">
        <v>31092.396463465073</v>
      </c>
      <c r="L151" s="10">
        <v>8</v>
      </c>
      <c r="M151" s="10">
        <v>0</v>
      </c>
      <c r="N151" s="9">
        <v>0</v>
      </c>
      <c r="O151" s="9">
        <f t="shared" si="0"/>
        <v>6750</v>
      </c>
      <c r="P151" s="9">
        <f t="shared" si="1"/>
        <v>5400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spans="1:42" ht="13.2" x14ac:dyDescent="0.25">
      <c r="A152" s="3" t="s">
        <v>93</v>
      </c>
      <c r="B152" s="7">
        <v>43983</v>
      </c>
      <c r="C152" s="3" t="s">
        <v>36</v>
      </c>
      <c r="D152" s="8">
        <v>8.1380511712145687</v>
      </c>
      <c r="E152" s="8">
        <v>253.48682180677193</v>
      </c>
      <c r="F152" s="9">
        <v>1183603.8308563088</v>
      </c>
      <c r="G152" s="10">
        <v>1</v>
      </c>
      <c r="H152" s="9">
        <v>810000</v>
      </c>
      <c r="I152" s="10">
        <v>1</v>
      </c>
      <c r="J152" s="9">
        <v>810000</v>
      </c>
      <c r="K152" s="9">
        <v>65450.49654975711</v>
      </c>
      <c r="L152" s="10">
        <v>12</v>
      </c>
      <c r="M152" s="10">
        <v>0</v>
      </c>
      <c r="N152" s="9">
        <v>0</v>
      </c>
      <c r="O152" s="9">
        <f t="shared" si="0"/>
        <v>20250</v>
      </c>
      <c r="P152" s="9">
        <f t="shared" si="1"/>
        <v>16200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spans="1:42" ht="13.2" x14ac:dyDescent="0.25">
      <c r="A153" s="3" t="s">
        <v>56</v>
      </c>
      <c r="B153" s="7">
        <v>43983</v>
      </c>
      <c r="C153" s="3" t="s">
        <v>36</v>
      </c>
      <c r="D153" s="8">
        <v>160.2102936032835</v>
      </c>
      <c r="E153" s="8">
        <v>197.36303689105091</v>
      </c>
      <c r="F153" s="9">
        <v>144489.15089232428</v>
      </c>
      <c r="G153" s="10">
        <v>-1</v>
      </c>
      <c r="H153" s="9">
        <v>90000</v>
      </c>
      <c r="I153" s="10">
        <v>0</v>
      </c>
      <c r="J153" s="9">
        <v>0</v>
      </c>
      <c r="K153" s="9">
        <v>0</v>
      </c>
      <c r="L153" s="10">
        <v>0</v>
      </c>
      <c r="M153" s="10">
        <v>0</v>
      </c>
      <c r="N153" s="9">
        <v>0</v>
      </c>
      <c r="O153" s="9">
        <f t="shared" si="0"/>
        <v>0</v>
      </c>
      <c r="P153" s="9">
        <f t="shared" si="1"/>
        <v>0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spans="1:42" ht="13.2" x14ac:dyDescent="0.25">
      <c r="A154" s="3" t="s">
        <v>140</v>
      </c>
      <c r="B154" s="7">
        <v>43983</v>
      </c>
      <c r="C154" s="3" t="s">
        <v>36</v>
      </c>
      <c r="D154" s="8">
        <v>56.273970272527336</v>
      </c>
      <c r="E154" s="8">
        <v>192.7152636247634</v>
      </c>
      <c r="F154" s="9">
        <v>99437.370103586218</v>
      </c>
      <c r="G154" s="10">
        <v>-1</v>
      </c>
      <c r="H154" s="9">
        <v>120000</v>
      </c>
      <c r="I154" s="10">
        <v>1</v>
      </c>
      <c r="J154" s="9">
        <v>120000</v>
      </c>
      <c r="K154" s="9">
        <v>11537.494219311304</v>
      </c>
      <c r="L154" s="10">
        <v>6</v>
      </c>
      <c r="M154" s="10">
        <v>0</v>
      </c>
      <c r="N154" s="9">
        <v>0</v>
      </c>
      <c r="O154" s="9">
        <f t="shared" si="0"/>
        <v>3000</v>
      </c>
      <c r="P154" s="9">
        <f t="shared" si="1"/>
        <v>2400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spans="1:42" ht="13.2" x14ac:dyDescent="0.25">
      <c r="A155" s="3" t="s">
        <v>141</v>
      </c>
      <c r="B155" s="7">
        <v>43983</v>
      </c>
      <c r="C155" s="3" t="s">
        <v>36</v>
      </c>
      <c r="D155" s="8">
        <v>24.22917477106061</v>
      </c>
      <c r="E155" s="8">
        <v>133.56875926518373</v>
      </c>
      <c r="F155" s="9">
        <v>5453.1522393580108</v>
      </c>
      <c r="G155" s="10">
        <v>1</v>
      </c>
      <c r="H155" s="9">
        <v>10000</v>
      </c>
      <c r="I155" s="10">
        <v>0</v>
      </c>
      <c r="J155" s="9">
        <v>0</v>
      </c>
      <c r="K155" s="9">
        <v>0</v>
      </c>
      <c r="L155" s="10">
        <v>0</v>
      </c>
      <c r="M155" s="10">
        <v>0</v>
      </c>
      <c r="N155" s="9">
        <v>0</v>
      </c>
      <c r="O155" s="9">
        <f t="shared" si="0"/>
        <v>0</v>
      </c>
      <c r="P155" s="9">
        <f t="shared" si="1"/>
        <v>0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spans="1:42" ht="13.2" x14ac:dyDescent="0.25">
      <c r="A156" s="3" t="s">
        <v>66</v>
      </c>
      <c r="B156" s="7">
        <v>43983</v>
      </c>
      <c r="C156" s="3" t="s">
        <v>36</v>
      </c>
      <c r="D156" s="8">
        <v>84.291142268858124</v>
      </c>
      <c r="E156" s="8">
        <v>60</v>
      </c>
      <c r="F156" s="9">
        <v>92571.608102915736</v>
      </c>
      <c r="G156" s="10">
        <v>1</v>
      </c>
      <c r="H156" s="9">
        <v>80000</v>
      </c>
      <c r="I156" s="10">
        <v>0</v>
      </c>
      <c r="J156" s="9">
        <v>0</v>
      </c>
      <c r="K156" s="9">
        <v>0</v>
      </c>
      <c r="L156" s="10">
        <v>0</v>
      </c>
      <c r="M156" s="10">
        <v>0</v>
      </c>
      <c r="N156" s="9">
        <v>0</v>
      </c>
      <c r="O156" s="9">
        <f t="shared" si="0"/>
        <v>0</v>
      </c>
      <c r="P156" s="9">
        <f t="shared" si="1"/>
        <v>0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spans="1:42" ht="13.2" x14ac:dyDescent="0.25">
      <c r="A157" s="3" t="s">
        <v>142</v>
      </c>
      <c r="B157" s="7">
        <v>43983</v>
      </c>
      <c r="C157" s="3" t="s">
        <v>39</v>
      </c>
      <c r="D157" s="8">
        <v>66.113754266412869</v>
      </c>
      <c r="E157" s="8">
        <v>239.0860601463018</v>
      </c>
      <c r="F157" s="9">
        <v>186434.35463289366</v>
      </c>
      <c r="G157" s="10">
        <v>0</v>
      </c>
      <c r="H157" s="9">
        <v>120000</v>
      </c>
      <c r="I157" s="10">
        <v>0</v>
      </c>
      <c r="J157" s="9">
        <v>0</v>
      </c>
      <c r="K157" s="9">
        <v>0</v>
      </c>
      <c r="L157" s="10">
        <v>0</v>
      </c>
      <c r="M157" s="10">
        <v>0</v>
      </c>
      <c r="N157" s="9">
        <v>0</v>
      </c>
      <c r="O157" s="9">
        <f t="shared" si="0"/>
        <v>0</v>
      </c>
      <c r="P157" s="9">
        <f t="shared" si="1"/>
        <v>0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spans="1:42" ht="13.2" x14ac:dyDescent="0.25">
      <c r="A158" s="3" t="s">
        <v>127</v>
      </c>
      <c r="B158" s="7">
        <v>43983</v>
      </c>
      <c r="C158" s="3" t="s">
        <v>36</v>
      </c>
      <c r="D158" s="8">
        <v>3.2791748413739219</v>
      </c>
      <c r="E158" s="8">
        <v>273.21698539705528</v>
      </c>
      <c r="F158" s="9">
        <v>7690.083528664245</v>
      </c>
      <c r="G158" s="10">
        <v>1</v>
      </c>
      <c r="H158" s="9">
        <v>6666.666666666667</v>
      </c>
      <c r="I158" s="10">
        <v>1</v>
      </c>
      <c r="J158" s="9">
        <v>6666.666666666667</v>
      </c>
      <c r="K158" s="9">
        <v>234.9359659295973</v>
      </c>
      <c r="L158" s="10">
        <v>6</v>
      </c>
      <c r="M158" s="10">
        <v>0</v>
      </c>
      <c r="N158" s="9">
        <v>0</v>
      </c>
      <c r="O158" s="9">
        <f t="shared" si="0"/>
        <v>166.66666666666669</v>
      </c>
      <c r="P158" s="9">
        <f t="shared" si="1"/>
        <v>133.33333333333334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spans="1:42" ht="13.2" x14ac:dyDescent="0.25">
      <c r="A159" s="3" t="s">
        <v>143</v>
      </c>
      <c r="B159" s="7">
        <v>43983</v>
      </c>
      <c r="C159" s="3" t="s">
        <v>36</v>
      </c>
      <c r="D159" s="8">
        <v>98.949760562895165</v>
      </c>
      <c r="E159" s="8">
        <v>134.01049389634491</v>
      </c>
      <c r="F159" s="9">
        <v>933528.13895134209</v>
      </c>
      <c r="G159" s="10">
        <v>-1</v>
      </c>
      <c r="H159" s="9">
        <v>620000</v>
      </c>
      <c r="I159" s="10">
        <v>0</v>
      </c>
      <c r="J159" s="9">
        <v>0</v>
      </c>
      <c r="K159" s="9">
        <v>0</v>
      </c>
      <c r="L159" s="10">
        <v>0</v>
      </c>
      <c r="M159" s="10">
        <v>0</v>
      </c>
      <c r="N159" s="9">
        <v>0</v>
      </c>
      <c r="O159" s="9">
        <f t="shared" si="0"/>
        <v>0</v>
      </c>
      <c r="P159" s="9">
        <f t="shared" si="1"/>
        <v>0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spans="1:42" ht="13.2" x14ac:dyDescent="0.25">
      <c r="A160" s="3" t="s">
        <v>144</v>
      </c>
      <c r="B160" s="7">
        <v>43983</v>
      </c>
      <c r="C160" s="3" t="s">
        <v>36</v>
      </c>
      <c r="D160" s="8">
        <v>6.8395511093708778</v>
      </c>
      <c r="E160" s="8">
        <v>146.18150878589873</v>
      </c>
      <c r="F160" s="9">
        <v>50373.549696976799</v>
      </c>
      <c r="G160" s="10">
        <v>0</v>
      </c>
      <c r="H160" s="9">
        <v>80000</v>
      </c>
      <c r="I160" s="10">
        <v>1</v>
      </c>
      <c r="J160" s="9">
        <v>80000</v>
      </c>
      <c r="K160" s="9">
        <v>3795.9275663053127</v>
      </c>
      <c r="L160" s="10">
        <v>6</v>
      </c>
      <c r="M160" s="10">
        <v>0</v>
      </c>
      <c r="N160" s="9">
        <v>0</v>
      </c>
      <c r="O160" s="9">
        <f t="shared" si="0"/>
        <v>2000</v>
      </c>
      <c r="P160" s="9">
        <f t="shared" si="1"/>
        <v>1600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spans="1:42" ht="13.2" x14ac:dyDescent="0.25">
      <c r="A161" s="3" t="s">
        <v>145</v>
      </c>
      <c r="B161" s="7">
        <v>43983</v>
      </c>
      <c r="C161" s="3" t="s">
        <v>36</v>
      </c>
      <c r="D161" s="8">
        <v>14.877309214023654</v>
      </c>
      <c r="E161" s="8">
        <v>132.35931051712873</v>
      </c>
      <c r="F161" s="9">
        <v>45151.193245345828</v>
      </c>
      <c r="G161" s="10">
        <v>0</v>
      </c>
      <c r="H161" s="9">
        <v>60000</v>
      </c>
      <c r="I161" s="10">
        <v>0</v>
      </c>
      <c r="J161" s="9">
        <v>0</v>
      </c>
      <c r="K161" s="9">
        <v>0</v>
      </c>
      <c r="L161" s="10">
        <v>0</v>
      </c>
      <c r="M161" s="10">
        <v>0</v>
      </c>
      <c r="N161" s="9">
        <v>0</v>
      </c>
      <c r="O161" s="9">
        <f t="shared" si="0"/>
        <v>0</v>
      </c>
      <c r="P161" s="9">
        <f t="shared" si="1"/>
        <v>0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spans="1:42" ht="13.2" x14ac:dyDescent="0.25">
      <c r="A162" s="3" t="s">
        <v>146</v>
      </c>
      <c r="B162" s="7">
        <v>43983</v>
      </c>
      <c r="C162" s="3" t="s">
        <v>36</v>
      </c>
      <c r="D162" s="8">
        <v>3</v>
      </c>
      <c r="E162" s="8">
        <v>159.42377530071025</v>
      </c>
      <c r="F162" s="9">
        <v>32496.771819689795</v>
      </c>
      <c r="G162" s="10">
        <v>0</v>
      </c>
      <c r="H162" s="9">
        <v>50000</v>
      </c>
      <c r="I162" s="10">
        <v>1</v>
      </c>
      <c r="J162" s="9">
        <v>50000</v>
      </c>
      <c r="K162" s="9">
        <v>4540.8639337967325</v>
      </c>
      <c r="L162" s="10">
        <v>6</v>
      </c>
      <c r="M162" s="10">
        <v>0</v>
      </c>
      <c r="N162" s="9">
        <v>0</v>
      </c>
      <c r="O162" s="9">
        <f t="shared" si="0"/>
        <v>1250</v>
      </c>
      <c r="P162" s="9">
        <f t="shared" si="1"/>
        <v>1000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spans="1:42" ht="13.2" x14ac:dyDescent="0.25">
      <c r="A163" s="3" t="s">
        <v>147</v>
      </c>
      <c r="B163" s="7">
        <v>43983</v>
      </c>
      <c r="C163" s="3" t="s">
        <v>39</v>
      </c>
      <c r="D163" s="8">
        <v>78.683289560878549</v>
      </c>
      <c r="E163" s="8">
        <v>149.01339716541847</v>
      </c>
      <c r="F163" s="9">
        <v>973646.05376530089</v>
      </c>
      <c r="G163" s="10">
        <v>0</v>
      </c>
      <c r="H163" s="9">
        <v>890000</v>
      </c>
      <c r="I163" s="10">
        <v>0</v>
      </c>
      <c r="J163" s="9">
        <v>0</v>
      </c>
      <c r="K163" s="9">
        <v>0</v>
      </c>
      <c r="L163" s="10">
        <v>0</v>
      </c>
      <c r="M163" s="10">
        <v>0</v>
      </c>
      <c r="N163" s="9">
        <v>0</v>
      </c>
      <c r="O163" s="9">
        <f t="shared" si="0"/>
        <v>0</v>
      </c>
      <c r="P163" s="9">
        <f t="shared" si="1"/>
        <v>0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spans="1:42" ht="13.2" x14ac:dyDescent="0.25">
      <c r="A164" s="3" t="s">
        <v>48</v>
      </c>
      <c r="B164" s="7">
        <v>43983</v>
      </c>
      <c r="C164" s="3" t="s">
        <v>36</v>
      </c>
      <c r="D164" s="8">
        <v>10.91725134351816</v>
      </c>
      <c r="E164" s="8">
        <v>259.65314880886814</v>
      </c>
      <c r="F164" s="9">
        <v>58198.811587793585</v>
      </c>
      <c r="G164" s="10">
        <v>-1</v>
      </c>
      <c r="H164" s="9">
        <v>50000</v>
      </c>
      <c r="I164" s="10">
        <v>1</v>
      </c>
      <c r="J164" s="9">
        <v>50000</v>
      </c>
      <c r="K164" s="9">
        <v>3110.7415171194439</v>
      </c>
      <c r="L164" s="10">
        <v>6</v>
      </c>
      <c r="M164" s="10">
        <v>0</v>
      </c>
      <c r="N164" s="9">
        <v>0</v>
      </c>
      <c r="O164" s="9">
        <f t="shared" si="0"/>
        <v>1250</v>
      </c>
      <c r="P164" s="9">
        <f t="shared" si="1"/>
        <v>1000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spans="1:42" ht="13.2" x14ac:dyDescent="0.25">
      <c r="A165" s="3" t="s">
        <v>148</v>
      </c>
      <c r="B165" s="7">
        <v>44013</v>
      </c>
      <c r="C165" s="3" t="s">
        <v>36</v>
      </c>
      <c r="D165" s="8">
        <v>32.980660709744448</v>
      </c>
      <c r="E165" s="8">
        <v>324.39509639404872</v>
      </c>
      <c r="F165" s="9">
        <v>175675.13042612476</v>
      </c>
      <c r="G165" s="10">
        <v>1</v>
      </c>
      <c r="H165" s="9">
        <v>150000</v>
      </c>
      <c r="I165" s="10">
        <v>1</v>
      </c>
      <c r="J165" s="9">
        <v>150000</v>
      </c>
      <c r="K165" s="9">
        <v>17639.967142442649</v>
      </c>
      <c r="L165" s="10">
        <v>6</v>
      </c>
      <c r="M165" s="10">
        <v>0</v>
      </c>
      <c r="N165" s="9">
        <v>0</v>
      </c>
      <c r="O165" s="9">
        <f t="shared" si="0"/>
        <v>3750</v>
      </c>
      <c r="P165" s="9">
        <f t="shared" si="1"/>
        <v>3000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spans="1:42" ht="13.2" x14ac:dyDescent="0.25">
      <c r="A166" s="3" t="s">
        <v>149</v>
      </c>
      <c r="B166" s="7">
        <v>44013</v>
      </c>
      <c r="C166" s="3" t="s">
        <v>63</v>
      </c>
      <c r="D166" s="8">
        <v>76.978057677561324</v>
      </c>
      <c r="E166" s="8">
        <v>293.74749966521631</v>
      </c>
      <c r="F166" s="9">
        <v>89219.800364135357</v>
      </c>
      <c r="G166" s="10">
        <v>0</v>
      </c>
      <c r="H166" s="9">
        <v>60000</v>
      </c>
      <c r="I166" s="10">
        <v>1</v>
      </c>
      <c r="J166" s="9">
        <v>60000</v>
      </c>
      <c r="K166" s="9">
        <v>4923.4586614899335</v>
      </c>
      <c r="L166" s="10">
        <v>6</v>
      </c>
      <c r="M166" s="10">
        <v>0</v>
      </c>
      <c r="N166" s="9">
        <v>0</v>
      </c>
      <c r="O166" s="9">
        <f t="shared" si="0"/>
        <v>1500</v>
      </c>
      <c r="P166" s="9">
        <f t="shared" si="1"/>
        <v>1200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spans="1:42" ht="13.2" x14ac:dyDescent="0.25">
      <c r="A167" s="3" t="s">
        <v>150</v>
      </c>
      <c r="B167" s="7">
        <v>44013</v>
      </c>
      <c r="C167" s="3" t="s">
        <v>36</v>
      </c>
      <c r="D167" s="8">
        <v>6.9556297254218418</v>
      </c>
      <c r="E167" s="8">
        <v>121.14183709107942</v>
      </c>
      <c r="F167" s="9">
        <v>75899.888717506474</v>
      </c>
      <c r="G167" s="10">
        <v>1</v>
      </c>
      <c r="H167" s="9">
        <v>100000</v>
      </c>
      <c r="I167" s="10">
        <v>1</v>
      </c>
      <c r="J167" s="9">
        <v>100000</v>
      </c>
      <c r="K167" s="9">
        <v>5132.5514330724163</v>
      </c>
      <c r="L167" s="10">
        <v>6</v>
      </c>
      <c r="M167" s="10">
        <v>0</v>
      </c>
      <c r="N167" s="9">
        <v>0</v>
      </c>
      <c r="O167" s="9">
        <f t="shared" si="0"/>
        <v>2500</v>
      </c>
      <c r="P167" s="9">
        <f t="shared" si="1"/>
        <v>2000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spans="1:42" ht="13.2" x14ac:dyDescent="0.25">
      <c r="A168" s="3" t="s">
        <v>151</v>
      </c>
      <c r="B168" s="7">
        <v>44013</v>
      </c>
      <c r="C168" s="3" t="s">
        <v>39</v>
      </c>
      <c r="D168" s="8">
        <v>39.442720988604123</v>
      </c>
      <c r="E168" s="8">
        <v>226.52642301844597</v>
      </c>
      <c r="F168" s="9">
        <v>42565.499517727461</v>
      </c>
      <c r="G168" s="10">
        <v>-1</v>
      </c>
      <c r="H168" s="9">
        <v>30000</v>
      </c>
      <c r="I168" s="10">
        <v>0</v>
      </c>
      <c r="J168" s="9">
        <v>0</v>
      </c>
      <c r="K168" s="9">
        <v>0</v>
      </c>
      <c r="L168" s="10">
        <v>0</v>
      </c>
      <c r="M168" s="10">
        <v>0</v>
      </c>
      <c r="N168" s="9">
        <v>0</v>
      </c>
      <c r="O168" s="9">
        <f t="shared" si="0"/>
        <v>0</v>
      </c>
      <c r="P168" s="9">
        <f t="shared" si="1"/>
        <v>0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spans="1:42" ht="13.2" x14ac:dyDescent="0.25">
      <c r="A169" s="3" t="s">
        <v>42</v>
      </c>
      <c r="B169" s="7">
        <v>44013</v>
      </c>
      <c r="C169" s="3" t="s">
        <v>39</v>
      </c>
      <c r="D169" s="8">
        <v>51.66197019696245</v>
      </c>
      <c r="E169" s="8">
        <v>187.39631037248529</v>
      </c>
      <c r="F169" s="9">
        <v>806445.01008550636</v>
      </c>
      <c r="G169" s="10">
        <v>1</v>
      </c>
      <c r="H169" s="9">
        <v>1040000</v>
      </c>
      <c r="I169" s="10">
        <v>0</v>
      </c>
      <c r="J169" s="9">
        <v>0</v>
      </c>
      <c r="K169" s="9">
        <v>0</v>
      </c>
      <c r="L169" s="10">
        <v>0</v>
      </c>
      <c r="M169" s="10">
        <v>0</v>
      </c>
      <c r="N169" s="9">
        <v>0</v>
      </c>
      <c r="O169" s="9">
        <f t="shared" si="0"/>
        <v>0</v>
      </c>
      <c r="P169" s="9">
        <f t="shared" si="1"/>
        <v>0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spans="1:42" ht="13.2" x14ac:dyDescent="0.25">
      <c r="A170" s="3" t="s">
        <v>152</v>
      </c>
      <c r="B170" s="7">
        <v>44013</v>
      </c>
      <c r="C170" s="3" t="s">
        <v>36</v>
      </c>
      <c r="D170" s="8">
        <v>13.137407160776963</v>
      </c>
      <c r="E170" s="8">
        <v>242.29852586890468</v>
      </c>
      <c r="F170" s="9">
        <v>269473.88908682886</v>
      </c>
      <c r="G170" s="10">
        <v>0</v>
      </c>
      <c r="H170" s="9">
        <v>170000</v>
      </c>
      <c r="I170" s="10">
        <v>1</v>
      </c>
      <c r="J170" s="9">
        <v>170000</v>
      </c>
      <c r="K170" s="9">
        <v>16863.473904388309</v>
      </c>
      <c r="L170" s="10">
        <v>6</v>
      </c>
      <c r="M170" s="10">
        <v>0</v>
      </c>
      <c r="N170" s="9">
        <v>0</v>
      </c>
      <c r="O170" s="9">
        <f t="shared" si="0"/>
        <v>4250</v>
      </c>
      <c r="P170" s="9">
        <f t="shared" si="1"/>
        <v>3400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spans="1:42" ht="13.2" x14ac:dyDescent="0.25">
      <c r="A171" s="3" t="s">
        <v>51</v>
      </c>
      <c r="B171" s="7">
        <v>44013</v>
      </c>
      <c r="C171" s="3" t="s">
        <v>36</v>
      </c>
      <c r="D171" s="8">
        <v>63.973614151463309</v>
      </c>
      <c r="E171" s="8">
        <v>118.98144152480347</v>
      </c>
      <c r="F171" s="9">
        <v>96050.036905539208</v>
      </c>
      <c r="G171" s="10">
        <v>0</v>
      </c>
      <c r="H171" s="9">
        <v>90000</v>
      </c>
      <c r="I171" s="10">
        <v>0</v>
      </c>
      <c r="J171" s="9">
        <v>0</v>
      </c>
      <c r="K171" s="9">
        <v>0</v>
      </c>
      <c r="L171" s="10">
        <v>0</v>
      </c>
      <c r="M171" s="10">
        <v>0</v>
      </c>
      <c r="N171" s="9">
        <v>0</v>
      </c>
      <c r="O171" s="9">
        <f t="shared" si="0"/>
        <v>0</v>
      </c>
      <c r="P171" s="9">
        <f t="shared" si="1"/>
        <v>0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spans="1:42" ht="13.2" x14ac:dyDescent="0.25">
      <c r="A172" s="3" t="s">
        <v>113</v>
      </c>
      <c r="B172" s="7">
        <v>44013</v>
      </c>
      <c r="C172" s="3" t="s">
        <v>39</v>
      </c>
      <c r="D172" s="8">
        <v>68.885235198437258</v>
      </c>
      <c r="E172" s="8">
        <v>129.64532062847621</v>
      </c>
      <c r="F172" s="9">
        <v>313428.19317685202</v>
      </c>
      <c r="G172" s="10">
        <v>0</v>
      </c>
      <c r="H172" s="9">
        <v>310000</v>
      </c>
      <c r="I172" s="10">
        <v>0</v>
      </c>
      <c r="J172" s="9">
        <v>0</v>
      </c>
      <c r="K172" s="9">
        <v>0</v>
      </c>
      <c r="L172" s="10">
        <v>0</v>
      </c>
      <c r="M172" s="10">
        <v>0</v>
      </c>
      <c r="N172" s="9">
        <v>0</v>
      </c>
      <c r="O172" s="9">
        <f t="shared" si="0"/>
        <v>0</v>
      </c>
      <c r="P172" s="9">
        <f t="shared" si="1"/>
        <v>0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spans="1:42" ht="13.2" x14ac:dyDescent="0.25">
      <c r="A173" s="3" t="s">
        <v>37</v>
      </c>
      <c r="B173" s="7">
        <v>44013</v>
      </c>
      <c r="C173" s="3" t="s">
        <v>36</v>
      </c>
      <c r="D173" s="8">
        <v>88.276022759405294</v>
      </c>
      <c r="E173" s="8">
        <v>168.43343005583074</v>
      </c>
      <c r="F173" s="9">
        <v>85079.851444936634</v>
      </c>
      <c r="G173" s="10">
        <v>0</v>
      </c>
      <c r="H173" s="9">
        <v>70000</v>
      </c>
      <c r="I173" s="10">
        <v>1</v>
      </c>
      <c r="J173" s="9">
        <v>70000</v>
      </c>
      <c r="K173" s="9">
        <v>4333.4270013920232</v>
      </c>
      <c r="L173" s="10">
        <v>8</v>
      </c>
      <c r="M173" s="10">
        <v>0</v>
      </c>
      <c r="N173" s="9">
        <v>0</v>
      </c>
      <c r="O173" s="9">
        <f t="shared" si="0"/>
        <v>1750</v>
      </c>
      <c r="P173" s="9">
        <f t="shared" si="1"/>
        <v>1400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spans="1:42" ht="13.2" x14ac:dyDescent="0.25">
      <c r="A174" s="3" t="s">
        <v>131</v>
      </c>
      <c r="B174" s="7">
        <v>44013</v>
      </c>
      <c r="C174" s="3" t="s">
        <v>36</v>
      </c>
      <c r="D174" s="8">
        <v>13.902707182030575</v>
      </c>
      <c r="E174" s="8">
        <v>244.50114936936191</v>
      </c>
      <c r="F174" s="9">
        <v>50507.330738108503</v>
      </c>
      <c r="G174" s="10">
        <v>1</v>
      </c>
      <c r="H174" s="9">
        <v>40000</v>
      </c>
      <c r="I174" s="10">
        <v>0</v>
      </c>
      <c r="J174" s="9">
        <v>0</v>
      </c>
      <c r="K174" s="9">
        <v>0</v>
      </c>
      <c r="L174" s="10">
        <v>0</v>
      </c>
      <c r="M174" s="10">
        <v>0</v>
      </c>
      <c r="N174" s="9">
        <v>0</v>
      </c>
      <c r="O174" s="9">
        <f t="shared" si="0"/>
        <v>0</v>
      </c>
      <c r="P174" s="9">
        <f t="shared" si="1"/>
        <v>0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spans="1:42" ht="13.2" x14ac:dyDescent="0.25">
      <c r="A175" s="3" t="s">
        <v>121</v>
      </c>
      <c r="B175" s="7">
        <v>44013</v>
      </c>
      <c r="C175" s="3" t="s">
        <v>39</v>
      </c>
      <c r="D175" s="8">
        <v>9.0646481307526408</v>
      </c>
      <c r="E175" s="8">
        <v>191.12254992613759</v>
      </c>
      <c r="F175" s="9">
        <v>20238.691806174575</v>
      </c>
      <c r="G175" s="10">
        <v>0</v>
      </c>
      <c r="H175" s="9">
        <v>20000</v>
      </c>
      <c r="I175" s="10">
        <v>1</v>
      </c>
      <c r="J175" s="9">
        <v>20000</v>
      </c>
      <c r="K175" s="9">
        <v>1013.6437931174124</v>
      </c>
      <c r="L175" s="10">
        <v>6</v>
      </c>
      <c r="M175" s="10">
        <v>0</v>
      </c>
      <c r="N175" s="9">
        <v>0</v>
      </c>
      <c r="O175" s="9">
        <f t="shared" si="0"/>
        <v>500</v>
      </c>
      <c r="P175" s="9">
        <f t="shared" si="1"/>
        <v>400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spans="1:42" ht="13.2" x14ac:dyDescent="0.25">
      <c r="A176" s="3" t="s">
        <v>153</v>
      </c>
      <c r="B176" s="7">
        <v>44013</v>
      </c>
      <c r="C176" s="3" t="s">
        <v>36</v>
      </c>
      <c r="D176" s="8">
        <v>10.427584893735117</v>
      </c>
      <c r="E176" s="8">
        <v>149.84049431510581</v>
      </c>
      <c r="F176" s="9">
        <v>14196.576981697292</v>
      </c>
      <c r="G176" s="10">
        <v>-1</v>
      </c>
      <c r="H176" s="9">
        <v>20000</v>
      </c>
      <c r="I176" s="10">
        <v>0</v>
      </c>
      <c r="J176" s="9">
        <v>0</v>
      </c>
      <c r="K176" s="9">
        <v>0</v>
      </c>
      <c r="L176" s="10">
        <v>0</v>
      </c>
      <c r="M176" s="10">
        <v>0</v>
      </c>
      <c r="N176" s="9">
        <v>0</v>
      </c>
      <c r="O176" s="9">
        <f t="shared" si="0"/>
        <v>0</v>
      </c>
      <c r="P176" s="9">
        <f t="shared" si="1"/>
        <v>0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1:42" ht="13.2" x14ac:dyDescent="0.25">
      <c r="A177" s="3" t="s">
        <v>154</v>
      </c>
      <c r="B177" s="7">
        <v>44013</v>
      </c>
      <c r="C177" s="3" t="s">
        <v>39</v>
      </c>
      <c r="D177" s="8">
        <v>25.401779159370712</v>
      </c>
      <c r="E177" s="8">
        <v>297.2652399928603</v>
      </c>
      <c r="F177" s="9">
        <v>152460.2304304087</v>
      </c>
      <c r="G177" s="10">
        <v>0</v>
      </c>
      <c r="H177" s="9">
        <v>160000</v>
      </c>
      <c r="I177" s="10">
        <v>0</v>
      </c>
      <c r="J177" s="9">
        <v>0</v>
      </c>
      <c r="K177" s="9">
        <v>0</v>
      </c>
      <c r="L177" s="10">
        <v>0</v>
      </c>
      <c r="M177" s="10">
        <v>0</v>
      </c>
      <c r="N177" s="9">
        <v>0</v>
      </c>
      <c r="O177" s="9">
        <f t="shared" si="0"/>
        <v>0</v>
      </c>
      <c r="P177" s="9">
        <f t="shared" si="1"/>
        <v>0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 ht="13.2" x14ac:dyDescent="0.25">
      <c r="A178" s="3" t="s">
        <v>105</v>
      </c>
      <c r="B178" s="7">
        <v>44013</v>
      </c>
      <c r="C178" s="3" t="s">
        <v>36</v>
      </c>
      <c r="D178" s="8">
        <v>11.2243038412893</v>
      </c>
      <c r="E178" s="8">
        <v>340.03731812001132</v>
      </c>
      <c r="F178" s="9">
        <v>4063.189458289778</v>
      </c>
      <c r="G178" s="10">
        <v>1</v>
      </c>
      <c r="H178" s="9">
        <v>2631.5789473684208</v>
      </c>
      <c r="I178" s="10">
        <v>0</v>
      </c>
      <c r="J178" s="9">
        <v>0</v>
      </c>
      <c r="K178" s="9">
        <v>0</v>
      </c>
      <c r="L178" s="10">
        <v>0</v>
      </c>
      <c r="M178" s="10">
        <v>0</v>
      </c>
      <c r="N178" s="9">
        <v>0</v>
      </c>
      <c r="O178" s="9">
        <f t="shared" si="0"/>
        <v>0</v>
      </c>
      <c r="P178" s="9">
        <f t="shared" si="1"/>
        <v>0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1:42" ht="13.2" x14ac:dyDescent="0.25">
      <c r="A179" s="3" t="s">
        <v>101</v>
      </c>
      <c r="B179" s="7">
        <v>44013</v>
      </c>
      <c r="C179" s="3" t="s">
        <v>39</v>
      </c>
      <c r="D179" s="8">
        <v>15.927535173755597</v>
      </c>
      <c r="E179" s="8">
        <v>128.11157410009923</v>
      </c>
      <c r="F179" s="9">
        <v>27752.494050604735</v>
      </c>
      <c r="G179" s="10">
        <v>-1</v>
      </c>
      <c r="H179" s="9">
        <v>30000</v>
      </c>
      <c r="I179" s="10">
        <v>1</v>
      </c>
      <c r="J179" s="9">
        <v>30000</v>
      </c>
      <c r="K179" s="9">
        <v>2176.0568484494056</v>
      </c>
      <c r="L179" s="10">
        <v>6</v>
      </c>
      <c r="M179" s="10">
        <v>0</v>
      </c>
      <c r="N179" s="9">
        <v>0</v>
      </c>
      <c r="O179" s="9">
        <f t="shared" si="0"/>
        <v>750</v>
      </c>
      <c r="P179" s="9">
        <f t="shared" si="1"/>
        <v>600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1:42" ht="13.2" x14ac:dyDescent="0.25">
      <c r="A180" s="3" t="s">
        <v>122</v>
      </c>
      <c r="B180" s="7">
        <v>44013</v>
      </c>
      <c r="C180" s="3" t="s">
        <v>36</v>
      </c>
      <c r="D180" s="8">
        <v>12.850786110987334</v>
      </c>
      <c r="E180" s="8">
        <v>117.48490948667529</v>
      </c>
      <c r="F180" s="9">
        <v>6538.331558870801</v>
      </c>
      <c r="G180" s="10">
        <v>1</v>
      </c>
      <c r="H180" s="9">
        <v>10000</v>
      </c>
      <c r="I180" s="10">
        <v>1</v>
      </c>
      <c r="J180" s="9">
        <v>10000</v>
      </c>
      <c r="K180" s="9">
        <v>1165.5591283646565</v>
      </c>
      <c r="L180" s="10">
        <v>6</v>
      </c>
      <c r="M180" s="10">
        <v>0</v>
      </c>
      <c r="N180" s="9">
        <v>0</v>
      </c>
      <c r="O180" s="9">
        <f t="shared" si="0"/>
        <v>250</v>
      </c>
      <c r="P180" s="9">
        <f t="shared" si="1"/>
        <v>200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1:42" ht="13.2" x14ac:dyDescent="0.25">
      <c r="A181" s="3" t="s">
        <v>155</v>
      </c>
      <c r="B181" s="7">
        <v>44013</v>
      </c>
      <c r="C181" s="3" t="s">
        <v>39</v>
      </c>
      <c r="D181" s="8">
        <v>61.551301793953435</v>
      </c>
      <c r="E181" s="8">
        <v>189.54072125875848</v>
      </c>
      <c r="F181" s="9">
        <v>1588639.2392055374</v>
      </c>
      <c r="G181" s="10">
        <v>0</v>
      </c>
      <c r="H181" s="9">
        <v>1000000</v>
      </c>
      <c r="I181" s="10">
        <v>1</v>
      </c>
      <c r="J181" s="9">
        <v>1000000</v>
      </c>
      <c r="K181" s="9">
        <v>65956.516917370478</v>
      </c>
      <c r="L181" s="10">
        <v>6</v>
      </c>
      <c r="M181" s="10">
        <v>0</v>
      </c>
      <c r="N181" s="9">
        <v>0</v>
      </c>
      <c r="O181" s="9">
        <f t="shared" si="0"/>
        <v>25000</v>
      </c>
      <c r="P181" s="9">
        <f t="shared" si="1"/>
        <v>20000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 ht="13.2" x14ac:dyDescent="0.25">
      <c r="A182" s="3" t="s">
        <v>53</v>
      </c>
      <c r="B182" s="7">
        <v>44013</v>
      </c>
      <c r="C182" s="3" t="s">
        <v>39</v>
      </c>
      <c r="D182" s="8">
        <v>6.3111214061734708</v>
      </c>
      <c r="E182" s="8">
        <v>251.70061491939867</v>
      </c>
      <c r="F182" s="9">
        <v>34010.367372705114</v>
      </c>
      <c r="G182" s="10">
        <v>1</v>
      </c>
      <c r="H182" s="9">
        <v>30000</v>
      </c>
      <c r="I182" s="10">
        <v>1</v>
      </c>
      <c r="J182" s="9">
        <v>30000</v>
      </c>
      <c r="K182" s="9">
        <v>4233.1442700117268</v>
      </c>
      <c r="L182" s="10">
        <v>7</v>
      </c>
      <c r="M182" s="10">
        <v>0</v>
      </c>
      <c r="N182" s="9">
        <v>0</v>
      </c>
      <c r="O182" s="9">
        <f t="shared" si="0"/>
        <v>750</v>
      </c>
      <c r="P182" s="9">
        <f t="shared" si="1"/>
        <v>600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spans="1:42" ht="13.2" x14ac:dyDescent="0.25">
      <c r="A183" s="3" t="s">
        <v>111</v>
      </c>
      <c r="B183" s="7">
        <v>44013</v>
      </c>
      <c r="C183" s="3" t="s">
        <v>36</v>
      </c>
      <c r="D183" s="8">
        <v>3.4931678532562018</v>
      </c>
      <c r="E183" s="8">
        <v>360.99816116508072</v>
      </c>
      <c r="F183" s="9">
        <v>58638.733356430566</v>
      </c>
      <c r="G183" s="10">
        <v>-1</v>
      </c>
      <c r="H183" s="9">
        <v>40000</v>
      </c>
      <c r="I183" s="10">
        <v>1</v>
      </c>
      <c r="J183" s="9">
        <v>40000</v>
      </c>
      <c r="K183" s="9">
        <v>3768.1580845883245</v>
      </c>
      <c r="L183" s="10">
        <v>6</v>
      </c>
      <c r="M183" s="10">
        <v>0</v>
      </c>
      <c r="N183" s="9">
        <v>0</v>
      </c>
      <c r="O183" s="9">
        <f t="shared" si="0"/>
        <v>1000</v>
      </c>
      <c r="P183" s="9">
        <f t="shared" si="1"/>
        <v>800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spans="1:42" ht="13.2" x14ac:dyDescent="0.25">
      <c r="A184" s="3" t="s">
        <v>102</v>
      </c>
      <c r="B184" s="7">
        <v>44013</v>
      </c>
      <c r="C184" s="3" t="s">
        <v>36</v>
      </c>
      <c r="D184" s="8">
        <v>25.935831392335214</v>
      </c>
      <c r="E184" s="8">
        <v>167.35230304903979</v>
      </c>
      <c r="F184" s="9">
        <v>101906.86733140481</v>
      </c>
      <c r="G184" s="10">
        <v>1</v>
      </c>
      <c r="H184" s="9">
        <v>150000</v>
      </c>
      <c r="I184" s="10">
        <v>0</v>
      </c>
      <c r="J184" s="9">
        <v>0</v>
      </c>
      <c r="K184" s="9">
        <v>0</v>
      </c>
      <c r="L184" s="10">
        <v>0</v>
      </c>
      <c r="M184" s="10">
        <v>0</v>
      </c>
      <c r="N184" s="9">
        <v>0</v>
      </c>
      <c r="O184" s="9">
        <f t="shared" si="0"/>
        <v>0</v>
      </c>
      <c r="P184" s="9">
        <f t="shared" si="1"/>
        <v>0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spans="1:42" ht="13.2" x14ac:dyDescent="0.25">
      <c r="A185" s="3" t="s">
        <v>69</v>
      </c>
      <c r="B185" s="7">
        <v>44013</v>
      </c>
      <c r="C185" s="3" t="s">
        <v>36</v>
      </c>
      <c r="D185" s="8">
        <v>23.948353387768478</v>
      </c>
      <c r="E185" s="8">
        <v>249.51878683172271</v>
      </c>
      <c r="F185" s="9">
        <v>298141.77603537915</v>
      </c>
      <c r="G185" s="10">
        <v>-1</v>
      </c>
      <c r="H185" s="9">
        <v>199000</v>
      </c>
      <c r="I185" s="10">
        <v>0</v>
      </c>
      <c r="J185" s="9">
        <v>0</v>
      </c>
      <c r="K185" s="9">
        <v>0</v>
      </c>
      <c r="L185" s="10">
        <v>0</v>
      </c>
      <c r="M185" s="10">
        <v>0</v>
      </c>
      <c r="N185" s="9">
        <v>0</v>
      </c>
      <c r="O185" s="9">
        <f t="shared" si="0"/>
        <v>0</v>
      </c>
      <c r="P185" s="9">
        <f t="shared" si="1"/>
        <v>0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42" ht="13.2" x14ac:dyDescent="0.25">
      <c r="A186" s="3" t="s">
        <v>96</v>
      </c>
      <c r="B186" s="7">
        <v>44013</v>
      </c>
      <c r="C186" s="3" t="s">
        <v>36</v>
      </c>
      <c r="D186" s="8">
        <v>156.8573557037829</v>
      </c>
      <c r="E186" s="8">
        <v>170.26937328983405</v>
      </c>
      <c r="F186" s="9">
        <v>34995.867063434896</v>
      </c>
      <c r="G186" s="10">
        <v>-1</v>
      </c>
      <c r="H186" s="9">
        <v>40000</v>
      </c>
      <c r="I186" s="10">
        <v>1</v>
      </c>
      <c r="J186" s="9">
        <v>40000</v>
      </c>
      <c r="K186" s="9">
        <v>3870.7824219187596</v>
      </c>
      <c r="L186" s="10">
        <v>6</v>
      </c>
      <c r="M186" s="10">
        <v>0</v>
      </c>
      <c r="N186" s="9">
        <v>0</v>
      </c>
      <c r="O186" s="9">
        <f t="shared" si="0"/>
        <v>1000</v>
      </c>
      <c r="P186" s="9">
        <f t="shared" si="1"/>
        <v>800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spans="1:42" ht="13.2" x14ac:dyDescent="0.25">
      <c r="A187" s="3" t="s">
        <v>156</v>
      </c>
      <c r="B187" s="7">
        <v>44013</v>
      </c>
      <c r="C187" s="3" t="s">
        <v>36</v>
      </c>
      <c r="D187" s="8">
        <v>90.073218707602734</v>
      </c>
      <c r="E187" s="8">
        <v>146.6794618020557</v>
      </c>
      <c r="F187" s="9">
        <v>14307.545149128353</v>
      </c>
      <c r="G187" s="10">
        <v>0</v>
      </c>
      <c r="H187" s="9">
        <v>20000</v>
      </c>
      <c r="I187" s="10">
        <v>1</v>
      </c>
      <c r="J187" s="9">
        <v>20000</v>
      </c>
      <c r="K187" s="9">
        <v>2642.0639347620931</v>
      </c>
      <c r="L187" s="10">
        <v>6</v>
      </c>
      <c r="M187" s="10">
        <v>0</v>
      </c>
      <c r="N187" s="9">
        <v>0</v>
      </c>
      <c r="O187" s="9">
        <f t="shared" si="0"/>
        <v>500</v>
      </c>
      <c r="P187" s="9">
        <f t="shared" si="1"/>
        <v>400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spans="1:42" ht="13.2" x14ac:dyDescent="0.25">
      <c r="A188" s="3" t="s">
        <v>157</v>
      </c>
      <c r="B188" s="7">
        <v>44013</v>
      </c>
      <c r="C188" s="3" t="s">
        <v>36</v>
      </c>
      <c r="D188" s="8">
        <v>3.0046275975353138</v>
      </c>
      <c r="E188" s="8">
        <v>145.40027209996407</v>
      </c>
      <c r="F188" s="9">
        <v>60894.140169139806</v>
      </c>
      <c r="G188" s="10">
        <v>0</v>
      </c>
      <c r="H188" s="9">
        <v>90000</v>
      </c>
      <c r="I188" s="10">
        <v>0</v>
      </c>
      <c r="J188" s="9">
        <v>0</v>
      </c>
      <c r="K188" s="9">
        <v>0</v>
      </c>
      <c r="L188" s="10">
        <v>0</v>
      </c>
      <c r="M188" s="10">
        <v>0</v>
      </c>
      <c r="N188" s="9">
        <v>0</v>
      </c>
      <c r="O188" s="9">
        <f t="shared" si="0"/>
        <v>0</v>
      </c>
      <c r="P188" s="9">
        <f t="shared" si="1"/>
        <v>0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spans="1:42" ht="13.2" x14ac:dyDescent="0.25">
      <c r="A189" s="3" t="s">
        <v>85</v>
      </c>
      <c r="B189" s="7">
        <v>44013</v>
      </c>
      <c r="C189" s="3" t="s">
        <v>36</v>
      </c>
      <c r="D189" s="8">
        <v>8.4845171190737556</v>
      </c>
      <c r="E189" s="8">
        <v>258.26518220738046</v>
      </c>
      <c r="F189" s="9">
        <v>68510.482185307788</v>
      </c>
      <c r="G189" s="10">
        <v>-1</v>
      </c>
      <c r="H189" s="9">
        <v>60000</v>
      </c>
      <c r="I189" s="10">
        <v>0</v>
      </c>
      <c r="J189" s="9">
        <v>0</v>
      </c>
      <c r="K189" s="9">
        <v>0</v>
      </c>
      <c r="L189" s="10">
        <v>0</v>
      </c>
      <c r="M189" s="10">
        <v>0</v>
      </c>
      <c r="N189" s="9">
        <v>0</v>
      </c>
      <c r="O189" s="9">
        <f t="shared" si="0"/>
        <v>0</v>
      </c>
      <c r="P189" s="9">
        <f t="shared" si="1"/>
        <v>0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42" ht="13.2" x14ac:dyDescent="0.25">
      <c r="A190" s="3" t="s">
        <v>158</v>
      </c>
      <c r="B190" s="7">
        <v>44013</v>
      </c>
      <c r="C190" s="3" t="s">
        <v>39</v>
      </c>
      <c r="D190" s="8">
        <v>5.0445691257127647</v>
      </c>
      <c r="E190" s="8">
        <v>189.98320740049888</v>
      </c>
      <c r="F190" s="9">
        <v>11113.556408027925</v>
      </c>
      <c r="G190" s="10">
        <v>0</v>
      </c>
      <c r="H190" s="9">
        <v>20000</v>
      </c>
      <c r="I190" s="10">
        <v>0</v>
      </c>
      <c r="J190" s="9">
        <v>0</v>
      </c>
      <c r="K190" s="9">
        <v>0</v>
      </c>
      <c r="L190" s="10">
        <v>0</v>
      </c>
      <c r="M190" s="10">
        <v>0</v>
      </c>
      <c r="N190" s="9">
        <v>0</v>
      </c>
      <c r="O190" s="9">
        <f t="shared" si="0"/>
        <v>0</v>
      </c>
      <c r="P190" s="9">
        <f t="shared" si="1"/>
        <v>0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spans="1:42" ht="13.2" x14ac:dyDescent="0.25">
      <c r="A191" s="3" t="s">
        <v>40</v>
      </c>
      <c r="B191" s="7">
        <v>44013</v>
      </c>
      <c r="C191" s="3" t="s">
        <v>39</v>
      </c>
      <c r="D191" s="8">
        <v>64.44645358356729</v>
      </c>
      <c r="E191" s="8">
        <v>166.08971822913043</v>
      </c>
      <c r="F191" s="9">
        <v>188403.83254579912</v>
      </c>
      <c r="G191" s="10">
        <v>0</v>
      </c>
      <c r="H191" s="9">
        <v>170000</v>
      </c>
      <c r="I191" s="10">
        <v>1</v>
      </c>
      <c r="J191" s="9">
        <v>170000</v>
      </c>
      <c r="K191" s="9">
        <v>6120.5083098222431</v>
      </c>
      <c r="L191" s="10">
        <v>6</v>
      </c>
      <c r="M191" s="10">
        <v>0</v>
      </c>
      <c r="N191" s="9">
        <v>0</v>
      </c>
      <c r="O191" s="9">
        <f t="shared" si="0"/>
        <v>4250</v>
      </c>
      <c r="P191" s="9">
        <f t="shared" si="1"/>
        <v>3400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spans="1:42" ht="13.2" x14ac:dyDescent="0.25">
      <c r="A192" s="3" t="s">
        <v>159</v>
      </c>
      <c r="B192" s="7">
        <v>44013</v>
      </c>
      <c r="C192" s="3" t="s">
        <v>36</v>
      </c>
      <c r="D192" s="8">
        <v>3</v>
      </c>
      <c r="E192" s="8">
        <v>181.56183117163903</v>
      </c>
      <c r="F192" s="9">
        <v>13920.567647024114</v>
      </c>
      <c r="G192" s="10">
        <v>-1</v>
      </c>
      <c r="H192" s="9">
        <v>20000</v>
      </c>
      <c r="I192" s="10">
        <v>1</v>
      </c>
      <c r="J192" s="9">
        <v>20000</v>
      </c>
      <c r="K192" s="9">
        <v>769.43759479034941</v>
      </c>
      <c r="L192" s="10">
        <v>6</v>
      </c>
      <c r="M192" s="10">
        <v>0</v>
      </c>
      <c r="N192" s="9">
        <v>0</v>
      </c>
      <c r="O192" s="9">
        <f t="shared" si="0"/>
        <v>500</v>
      </c>
      <c r="P192" s="9">
        <f t="shared" si="1"/>
        <v>400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1:42" ht="13.2" x14ac:dyDescent="0.25">
      <c r="A193" s="3" t="s">
        <v>160</v>
      </c>
      <c r="B193" s="7">
        <v>44013</v>
      </c>
      <c r="C193" s="3" t="s">
        <v>36</v>
      </c>
      <c r="D193" s="8">
        <v>27.560974115924576</v>
      </c>
      <c r="E193" s="8">
        <v>220.13198302834479</v>
      </c>
      <c r="F193" s="9">
        <v>134633.090544014</v>
      </c>
      <c r="G193" s="10">
        <v>1</v>
      </c>
      <c r="H193" s="9">
        <v>170000</v>
      </c>
      <c r="I193" s="10">
        <v>0</v>
      </c>
      <c r="J193" s="9">
        <v>0</v>
      </c>
      <c r="K193" s="9">
        <v>0</v>
      </c>
      <c r="L193" s="10">
        <v>0</v>
      </c>
      <c r="M193" s="10">
        <v>0</v>
      </c>
      <c r="N193" s="9">
        <v>0</v>
      </c>
      <c r="O193" s="9">
        <f t="shared" si="0"/>
        <v>0</v>
      </c>
      <c r="P193" s="9">
        <f t="shared" si="1"/>
        <v>0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 ht="13.2" x14ac:dyDescent="0.25">
      <c r="A194" s="3" t="s">
        <v>99</v>
      </c>
      <c r="B194" s="7">
        <v>44013</v>
      </c>
      <c r="C194" s="3" t="s">
        <v>36</v>
      </c>
      <c r="D194" s="8">
        <v>79.845487485596152</v>
      </c>
      <c r="E194" s="8">
        <v>214.13106895320783</v>
      </c>
      <c r="F194" s="9">
        <v>391678.617585339</v>
      </c>
      <c r="G194" s="10">
        <v>1</v>
      </c>
      <c r="H194" s="9">
        <v>270000</v>
      </c>
      <c r="I194" s="10">
        <v>1</v>
      </c>
      <c r="J194" s="9">
        <v>270000</v>
      </c>
      <c r="K194" s="9">
        <v>37674.079854571115</v>
      </c>
      <c r="L194" s="10">
        <v>6</v>
      </c>
      <c r="M194" s="10">
        <v>0</v>
      </c>
      <c r="N194" s="9">
        <v>0</v>
      </c>
      <c r="O194" s="9">
        <f t="shared" si="0"/>
        <v>6750</v>
      </c>
      <c r="P194" s="9">
        <f t="shared" si="1"/>
        <v>5400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 ht="13.2" x14ac:dyDescent="0.25">
      <c r="A195" s="3" t="s">
        <v>161</v>
      </c>
      <c r="B195" s="7">
        <v>44013</v>
      </c>
      <c r="C195" s="3" t="s">
        <v>36</v>
      </c>
      <c r="D195" s="8">
        <v>3</v>
      </c>
      <c r="E195" s="8">
        <v>114.90366403955929</v>
      </c>
      <c r="F195" s="9">
        <v>21415.30788496375</v>
      </c>
      <c r="G195" s="10">
        <v>-1</v>
      </c>
      <c r="H195" s="9">
        <v>30000</v>
      </c>
      <c r="I195" s="10">
        <v>0</v>
      </c>
      <c r="J195" s="9">
        <v>0</v>
      </c>
      <c r="K195" s="9">
        <v>0</v>
      </c>
      <c r="L195" s="10">
        <v>0</v>
      </c>
      <c r="M195" s="10">
        <v>0</v>
      </c>
      <c r="N195" s="9">
        <v>0</v>
      </c>
      <c r="O195" s="9">
        <f t="shared" si="0"/>
        <v>0</v>
      </c>
      <c r="P195" s="9">
        <f t="shared" si="1"/>
        <v>0</v>
      </c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 ht="13.2" x14ac:dyDescent="0.25">
      <c r="A196" s="3" t="s">
        <v>162</v>
      </c>
      <c r="B196" s="7">
        <v>44013</v>
      </c>
      <c r="C196" s="3" t="s">
        <v>36</v>
      </c>
      <c r="D196" s="8">
        <v>30.115383340074317</v>
      </c>
      <c r="E196" s="8">
        <v>176.68992070073608</v>
      </c>
      <c r="F196" s="9">
        <v>15050.038192059315</v>
      </c>
      <c r="G196" s="10">
        <v>-1</v>
      </c>
      <c r="H196" s="9">
        <v>20000</v>
      </c>
      <c r="I196" s="10">
        <v>1</v>
      </c>
      <c r="J196" s="9">
        <v>20000</v>
      </c>
      <c r="K196" s="9">
        <v>966.03165076126288</v>
      </c>
      <c r="L196" s="10">
        <v>6</v>
      </c>
      <c r="M196" s="10">
        <v>0</v>
      </c>
      <c r="N196" s="9">
        <v>0</v>
      </c>
      <c r="O196" s="9">
        <f t="shared" si="0"/>
        <v>500</v>
      </c>
      <c r="P196" s="9">
        <f t="shared" si="1"/>
        <v>400</v>
      </c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1:42" ht="13.2" x14ac:dyDescent="0.25">
      <c r="A197" s="3" t="s">
        <v>163</v>
      </c>
      <c r="B197" s="7">
        <v>44013</v>
      </c>
      <c r="C197" s="3" t="s">
        <v>36</v>
      </c>
      <c r="D197" s="8">
        <v>38.922620512738092</v>
      </c>
      <c r="E197" s="8">
        <v>72.094631457689218</v>
      </c>
      <c r="F197" s="9">
        <v>89469.608231217877</v>
      </c>
      <c r="G197" s="10">
        <v>1</v>
      </c>
      <c r="H197" s="9">
        <v>150000</v>
      </c>
      <c r="I197" s="10">
        <v>1</v>
      </c>
      <c r="J197" s="9">
        <v>150000</v>
      </c>
      <c r="K197" s="9">
        <v>26788.930552738417</v>
      </c>
      <c r="L197" s="10">
        <v>8</v>
      </c>
      <c r="M197" s="10">
        <v>0</v>
      </c>
      <c r="N197" s="9">
        <v>0</v>
      </c>
      <c r="O197" s="9">
        <f t="shared" si="0"/>
        <v>3750</v>
      </c>
      <c r="P197" s="9">
        <f t="shared" si="1"/>
        <v>3000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 ht="13.2" x14ac:dyDescent="0.25">
      <c r="A198" s="3" t="s">
        <v>164</v>
      </c>
      <c r="B198" s="7">
        <v>44044</v>
      </c>
      <c r="C198" s="3" t="s">
        <v>36</v>
      </c>
      <c r="D198" s="8">
        <v>46.453503573148133</v>
      </c>
      <c r="E198" s="8">
        <v>236.93119639657689</v>
      </c>
      <c r="F198" s="9">
        <v>205168.37408362588</v>
      </c>
      <c r="G198" s="10">
        <v>1</v>
      </c>
      <c r="H198" s="9">
        <v>140000</v>
      </c>
      <c r="I198" s="10">
        <v>1</v>
      </c>
      <c r="J198" s="9">
        <v>140000</v>
      </c>
      <c r="K198" s="9">
        <v>5285.9377832718383</v>
      </c>
      <c r="L198" s="10">
        <v>6</v>
      </c>
      <c r="M198" s="10">
        <v>0</v>
      </c>
      <c r="N198" s="9">
        <v>0</v>
      </c>
      <c r="O198" s="9">
        <f t="shared" si="0"/>
        <v>3500</v>
      </c>
      <c r="P198" s="9">
        <f t="shared" si="1"/>
        <v>2800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1:42" ht="13.2" x14ac:dyDescent="0.25">
      <c r="A199" s="3" t="s">
        <v>137</v>
      </c>
      <c r="B199" s="7">
        <v>44044</v>
      </c>
      <c r="C199" s="3" t="s">
        <v>36</v>
      </c>
      <c r="D199" s="8">
        <v>36.876956288373336</v>
      </c>
      <c r="E199" s="8">
        <v>331.51600298616802</v>
      </c>
      <c r="F199" s="9">
        <v>1427436.2800174181</v>
      </c>
      <c r="G199" s="10">
        <v>-1</v>
      </c>
      <c r="H199" s="9">
        <v>940000</v>
      </c>
      <c r="I199" s="10">
        <v>1</v>
      </c>
      <c r="J199" s="9">
        <v>940000</v>
      </c>
      <c r="K199" s="9">
        <v>122001.5463597606</v>
      </c>
      <c r="L199" s="10">
        <v>6</v>
      </c>
      <c r="M199" s="10">
        <v>0</v>
      </c>
      <c r="N199" s="9">
        <v>0</v>
      </c>
      <c r="O199" s="9">
        <f t="shared" si="0"/>
        <v>23500</v>
      </c>
      <c r="P199" s="9">
        <f t="shared" si="1"/>
        <v>18800</v>
      </c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 ht="13.2" x14ac:dyDescent="0.25">
      <c r="A200" s="3" t="s">
        <v>142</v>
      </c>
      <c r="B200" s="7">
        <v>44044</v>
      </c>
      <c r="C200" s="3" t="s">
        <v>39</v>
      </c>
      <c r="D200" s="8">
        <v>70.864079250534019</v>
      </c>
      <c r="E200" s="8">
        <v>190.95824909904266</v>
      </c>
      <c r="F200" s="9">
        <v>63324.150990636117</v>
      </c>
      <c r="G200" s="10">
        <v>0</v>
      </c>
      <c r="H200" s="9">
        <v>80000</v>
      </c>
      <c r="I200" s="10">
        <v>1</v>
      </c>
      <c r="J200" s="9">
        <v>80000</v>
      </c>
      <c r="K200" s="9">
        <v>5332.0593687465889</v>
      </c>
      <c r="L200" s="10">
        <v>7</v>
      </c>
      <c r="M200" s="10">
        <v>0</v>
      </c>
      <c r="N200" s="9">
        <v>0</v>
      </c>
      <c r="O200" s="9">
        <f t="shared" si="0"/>
        <v>2000</v>
      </c>
      <c r="P200" s="9">
        <f t="shared" si="1"/>
        <v>1600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 ht="13.2" x14ac:dyDescent="0.25">
      <c r="A201" s="3" t="s">
        <v>165</v>
      </c>
      <c r="B201" s="7">
        <v>44044</v>
      </c>
      <c r="C201" s="3" t="s">
        <v>36</v>
      </c>
      <c r="D201" s="8">
        <v>80.97547293270442</v>
      </c>
      <c r="E201" s="8">
        <v>105.71444278626078</v>
      </c>
      <c r="F201" s="9">
        <v>22393.710005192424</v>
      </c>
      <c r="G201" s="10">
        <v>0</v>
      </c>
      <c r="H201" s="9">
        <v>30000</v>
      </c>
      <c r="I201" s="10">
        <v>0</v>
      </c>
      <c r="J201" s="9">
        <v>0</v>
      </c>
      <c r="K201" s="9">
        <v>0</v>
      </c>
      <c r="L201" s="10">
        <v>0</v>
      </c>
      <c r="M201" s="10">
        <v>0</v>
      </c>
      <c r="N201" s="9">
        <v>0</v>
      </c>
      <c r="O201" s="9">
        <f t="shared" si="0"/>
        <v>0</v>
      </c>
      <c r="P201" s="9">
        <f t="shared" si="1"/>
        <v>0</v>
      </c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 ht="13.2" x14ac:dyDescent="0.25">
      <c r="A202" s="3" t="s">
        <v>166</v>
      </c>
      <c r="B202" s="7">
        <v>44044</v>
      </c>
      <c r="C202" s="3" t="s">
        <v>36</v>
      </c>
      <c r="D202" s="8">
        <v>3</v>
      </c>
      <c r="E202" s="8">
        <v>200.2040291816906</v>
      </c>
      <c r="F202" s="9">
        <v>28504.546516954571</v>
      </c>
      <c r="G202" s="10">
        <v>-1</v>
      </c>
      <c r="H202" s="9">
        <v>40000</v>
      </c>
      <c r="I202" s="10">
        <v>1</v>
      </c>
      <c r="J202" s="9">
        <v>40000</v>
      </c>
      <c r="K202" s="9">
        <v>2795.8560344623338</v>
      </c>
      <c r="L202" s="10">
        <v>6</v>
      </c>
      <c r="M202" s="10">
        <v>0</v>
      </c>
      <c r="N202" s="9">
        <v>0</v>
      </c>
      <c r="O202" s="9">
        <f t="shared" si="0"/>
        <v>1000</v>
      </c>
      <c r="P202" s="9">
        <f t="shared" si="1"/>
        <v>800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spans="1:42" ht="13.2" x14ac:dyDescent="0.25">
      <c r="A203" s="3" t="s">
        <v>167</v>
      </c>
      <c r="B203" s="7">
        <v>44044</v>
      </c>
      <c r="C203" s="3" t="s">
        <v>36</v>
      </c>
      <c r="D203" s="8">
        <v>5.372920593380961</v>
      </c>
      <c r="E203" s="8">
        <v>146.92640689648442</v>
      </c>
      <c r="F203" s="9">
        <v>6396.8746044725804</v>
      </c>
      <c r="G203" s="10">
        <v>-1</v>
      </c>
      <c r="H203" s="9">
        <v>10000</v>
      </c>
      <c r="I203" s="10">
        <v>1</v>
      </c>
      <c r="J203" s="9">
        <v>10000</v>
      </c>
      <c r="K203" s="9">
        <v>862.90999971914471</v>
      </c>
      <c r="L203" s="10">
        <v>6</v>
      </c>
      <c r="M203" s="10">
        <v>0</v>
      </c>
      <c r="N203" s="9">
        <v>0</v>
      </c>
      <c r="O203" s="9">
        <f t="shared" si="0"/>
        <v>250</v>
      </c>
      <c r="P203" s="9">
        <f t="shared" si="1"/>
        <v>200</v>
      </c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spans="1:42" ht="13.2" x14ac:dyDescent="0.25">
      <c r="A204" s="3" t="s">
        <v>168</v>
      </c>
      <c r="B204" s="7">
        <v>44044</v>
      </c>
      <c r="C204" s="3" t="s">
        <v>39</v>
      </c>
      <c r="D204" s="8">
        <v>68.601917911088663</v>
      </c>
      <c r="E204" s="8">
        <v>79.979337930256293</v>
      </c>
      <c r="F204" s="9">
        <v>387132.85882830416</v>
      </c>
      <c r="G204" s="10">
        <v>1</v>
      </c>
      <c r="H204" s="9">
        <v>700000</v>
      </c>
      <c r="I204" s="10">
        <v>0</v>
      </c>
      <c r="J204" s="9">
        <v>0</v>
      </c>
      <c r="K204" s="9">
        <v>0</v>
      </c>
      <c r="L204" s="10">
        <v>0</v>
      </c>
      <c r="M204" s="10">
        <v>0</v>
      </c>
      <c r="N204" s="9">
        <v>0</v>
      </c>
      <c r="O204" s="9">
        <f t="shared" si="0"/>
        <v>0</v>
      </c>
      <c r="P204" s="9">
        <f t="shared" si="1"/>
        <v>0</v>
      </c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spans="1:42" ht="13.2" x14ac:dyDescent="0.25">
      <c r="A205" s="3" t="s">
        <v>169</v>
      </c>
      <c r="B205" s="7">
        <v>44044</v>
      </c>
      <c r="C205" s="3" t="s">
        <v>36</v>
      </c>
      <c r="D205" s="8">
        <v>21.63583666408099</v>
      </c>
      <c r="E205" s="8">
        <v>318.61089728781462</v>
      </c>
      <c r="F205" s="9">
        <v>73529.2591153908</v>
      </c>
      <c r="G205" s="10">
        <v>-1</v>
      </c>
      <c r="H205" s="9">
        <v>50000</v>
      </c>
      <c r="I205" s="10">
        <v>0</v>
      </c>
      <c r="J205" s="9">
        <v>0</v>
      </c>
      <c r="K205" s="9">
        <v>0</v>
      </c>
      <c r="L205" s="10">
        <v>0</v>
      </c>
      <c r="M205" s="10">
        <v>0</v>
      </c>
      <c r="N205" s="9">
        <v>0</v>
      </c>
      <c r="O205" s="9">
        <f t="shared" si="0"/>
        <v>0</v>
      </c>
      <c r="P205" s="9">
        <f t="shared" si="1"/>
        <v>0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42" ht="13.2" x14ac:dyDescent="0.25">
      <c r="A206" s="3" t="s">
        <v>170</v>
      </c>
      <c r="B206" s="7">
        <v>44044</v>
      </c>
      <c r="C206" s="3" t="s">
        <v>36</v>
      </c>
      <c r="D206" s="8">
        <v>3.7722382560399934</v>
      </c>
      <c r="E206" s="8">
        <v>164.80832106432391</v>
      </c>
      <c r="F206" s="9">
        <v>2098.2053697767165</v>
      </c>
      <c r="G206" s="10">
        <v>1</v>
      </c>
      <c r="H206" s="9">
        <v>4000</v>
      </c>
      <c r="I206" s="10">
        <v>1</v>
      </c>
      <c r="J206" s="9">
        <v>4000</v>
      </c>
      <c r="K206" s="9">
        <v>350.59160270530163</v>
      </c>
      <c r="L206" s="10">
        <v>6</v>
      </c>
      <c r="M206" s="10">
        <v>0</v>
      </c>
      <c r="N206" s="9">
        <v>0</v>
      </c>
      <c r="O206" s="9">
        <f t="shared" si="0"/>
        <v>100</v>
      </c>
      <c r="P206" s="9">
        <f t="shared" si="1"/>
        <v>80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spans="1:42" ht="13.2" x14ac:dyDescent="0.25">
      <c r="A207" s="3" t="s">
        <v>171</v>
      </c>
      <c r="B207" s="7">
        <v>44044</v>
      </c>
      <c r="C207" s="3" t="s">
        <v>36</v>
      </c>
      <c r="D207" s="8">
        <v>10.150994207129095</v>
      </c>
      <c r="E207" s="8">
        <v>241.50009834586027</v>
      </c>
      <c r="F207" s="9">
        <v>30194.978193631563</v>
      </c>
      <c r="G207" s="10">
        <v>-1</v>
      </c>
      <c r="H207" s="9">
        <v>20000</v>
      </c>
      <c r="I207" s="10">
        <v>1</v>
      </c>
      <c r="J207" s="9">
        <v>20000</v>
      </c>
      <c r="K207" s="9">
        <v>1389.412151533711</v>
      </c>
      <c r="L207" s="10">
        <v>6</v>
      </c>
      <c r="M207" s="10">
        <v>0</v>
      </c>
      <c r="N207" s="9">
        <v>0</v>
      </c>
      <c r="O207" s="9">
        <f t="shared" si="0"/>
        <v>500</v>
      </c>
      <c r="P207" s="9">
        <f t="shared" si="1"/>
        <v>400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spans="1:42" ht="13.2" x14ac:dyDescent="0.25">
      <c r="A208" s="3" t="s">
        <v>172</v>
      </c>
      <c r="B208" s="7">
        <v>44044</v>
      </c>
      <c r="C208" s="3" t="s">
        <v>39</v>
      </c>
      <c r="D208" s="8">
        <v>91.580609017433076</v>
      </c>
      <c r="E208" s="8">
        <v>259.75644568993619</v>
      </c>
      <c r="F208" s="9">
        <v>365279.02751684526</v>
      </c>
      <c r="G208" s="10">
        <v>-1</v>
      </c>
      <c r="H208" s="9">
        <v>290000</v>
      </c>
      <c r="I208" s="10">
        <v>1</v>
      </c>
      <c r="J208" s="9">
        <v>290000</v>
      </c>
      <c r="K208" s="9">
        <v>20615.371350830512</v>
      </c>
      <c r="L208" s="10">
        <v>6</v>
      </c>
      <c r="M208" s="10">
        <v>0</v>
      </c>
      <c r="N208" s="9">
        <v>0</v>
      </c>
      <c r="O208" s="9">
        <f t="shared" si="0"/>
        <v>7250</v>
      </c>
      <c r="P208" s="9">
        <f t="shared" si="1"/>
        <v>5800</v>
      </c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spans="1:42" ht="13.2" x14ac:dyDescent="0.25">
      <c r="A209" s="3" t="s">
        <v>77</v>
      </c>
      <c r="B209" s="7">
        <v>44044</v>
      </c>
      <c r="C209" s="3" t="s">
        <v>39</v>
      </c>
      <c r="D209" s="8">
        <v>75.127971628161461</v>
      </c>
      <c r="E209" s="8">
        <v>173.06791115796676</v>
      </c>
      <c r="F209" s="9">
        <v>1372582.6344686316</v>
      </c>
      <c r="G209" s="10">
        <v>0</v>
      </c>
      <c r="H209" s="9">
        <v>1510000</v>
      </c>
      <c r="I209" s="10">
        <v>1</v>
      </c>
      <c r="J209" s="9">
        <v>1510000</v>
      </c>
      <c r="K209" s="9">
        <v>88058.89873931896</v>
      </c>
      <c r="L209" s="10">
        <v>8</v>
      </c>
      <c r="M209" s="10">
        <v>0</v>
      </c>
      <c r="N209" s="9">
        <v>0</v>
      </c>
      <c r="O209" s="9">
        <f t="shared" si="0"/>
        <v>37750</v>
      </c>
      <c r="P209" s="9">
        <f t="shared" si="1"/>
        <v>30200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 ht="13.2" x14ac:dyDescent="0.25">
      <c r="A210" s="3" t="s">
        <v>139</v>
      </c>
      <c r="B210" s="7">
        <v>44044</v>
      </c>
      <c r="C210" s="3" t="s">
        <v>36</v>
      </c>
      <c r="D210" s="8">
        <v>41.789446473125096</v>
      </c>
      <c r="E210" s="8">
        <v>247.92822458929581</v>
      </c>
      <c r="F210" s="9">
        <v>304926.28906233446</v>
      </c>
      <c r="G210" s="10">
        <v>-1</v>
      </c>
      <c r="H210" s="9">
        <v>210000</v>
      </c>
      <c r="I210" s="10">
        <v>1</v>
      </c>
      <c r="J210" s="9">
        <v>210000</v>
      </c>
      <c r="K210" s="9">
        <v>24665.661065389148</v>
      </c>
      <c r="L210" s="10">
        <v>6</v>
      </c>
      <c r="M210" s="10">
        <v>0</v>
      </c>
      <c r="N210" s="9">
        <v>0</v>
      </c>
      <c r="O210" s="9">
        <f t="shared" si="0"/>
        <v>5250</v>
      </c>
      <c r="P210" s="9">
        <f t="shared" si="1"/>
        <v>4200</v>
      </c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spans="1:42" ht="13.2" x14ac:dyDescent="0.25">
      <c r="A211" s="3" t="s">
        <v>173</v>
      </c>
      <c r="B211" s="7">
        <v>44044</v>
      </c>
      <c r="C211" s="3" t="s">
        <v>36</v>
      </c>
      <c r="D211" s="8">
        <v>71.71060904346183</v>
      </c>
      <c r="E211" s="8">
        <v>324.28816617795337</v>
      </c>
      <c r="F211" s="9">
        <v>15037.182552171358</v>
      </c>
      <c r="G211" s="10">
        <v>-1</v>
      </c>
      <c r="H211" s="9">
        <v>10000</v>
      </c>
      <c r="I211" s="10">
        <v>1</v>
      </c>
      <c r="J211" s="9">
        <v>10000</v>
      </c>
      <c r="K211" s="9">
        <v>470.86694124801551</v>
      </c>
      <c r="L211" s="10">
        <v>6</v>
      </c>
      <c r="M211" s="10">
        <v>0</v>
      </c>
      <c r="N211" s="9">
        <v>0</v>
      </c>
      <c r="O211" s="9">
        <f t="shared" si="0"/>
        <v>250</v>
      </c>
      <c r="P211" s="9">
        <f t="shared" si="1"/>
        <v>200</v>
      </c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spans="1:42" ht="13.2" x14ac:dyDescent="0.25">
      <c r="A212" s="3" t="s">
        <v>174</v>
      </c>
      <c r="B212" s="7">
        <v>44044</v>
      </c>
      <c r="C212" s="3" t="s">
        <v>36</v>
      </c>
      <c r="D212" s="8">
        <v>221.46075978126814</v>
      </c>
      <c r="E212" s="8">
        <v>211.04038537341103</v>
      </c>
      <c r="F212" s="9">
        <v>112956.78868994114</v>
      </c>
      <c r="G212" s="10">
        <v>-1</v>
      </c>
      <c r="H212" s="9">
        <v>100000</v>
      </c>
      <c r="I212" s="10">
        <v>0</v>
      </c>
      <c r="J212" s="9">
        <v>0</v>
      </c>
      <c r="K212" s="9">
        <v>0</v>
      </c>
      <c r="L212" s="10">
        <v>0</v>
      </c>
      <c r="M212" s="10">
        <v>0</v>
      </c>
      <c r="N212" s="9">
        <v>0</v>
      </c>
      <c r="O212" s="9">
        <f t="shared" si="0"/>
        <v>0</v>
      </c>
      <c r="P212" s="9">
        <f t="shared" si="1"/>
        <v>0</v>
      </c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1:42" ht="13.2" x14ac:dyDescent="0.25">
      <c r="A213" s="3" t="s">
        <v>175</v>
      </c>
      <c r="B213" s="7">
        <v>44044</v>
      </c>
      <c r="C213" s="3" t="s">
        <v>36</v>
      </c>
      <c r="D213" s="8">
        <v>27.463492483087027</v>
      </c>
      <c r="E213" s="8">
        <v>127.4615089488116</v>
      </c>
      <c r="F213" s="9">
        <v>102163.48958766139</v>
      </c>
      <c r="G213" s="10">
        <v>-1</v>
      </c>
      <c r="H213" s="9">
        <v>210000</v>
      </c>
      <c r="I213" s="10">
        <v>1</v>
      </c>
      <c r="J213" s="9">
        <v>210000</v>
      </c>
      <c r="K213" s="9">
        <v>902.99509314606883</v>
      </c>
      <c r="L213" s="10">
        <v>6</v>
      </c>
      <c r="M213" s="10">
        <v>1</v>
      </c>
      <c r="N213" s="9">
        <v>34076</v>
      </c>
      <c r="O213" s="9">
        <f t="shared" si="0"/>
        <v>5250</v>
      </c>
      <c r="P213" s="9">
        <f t="shared" si="1"/>
        <v>4200</v>
      </c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ht="13.2" x14ac:dyDescent="0.25">
      <c r="A214" s="3" t="s">
        <v>176</v>
      </c>
      <c r="B214" s="7">
        <v>44044</v>
      </c>
      <c r="C214" s="3" t="s">
        <v>39</v>
      </c>
      <c r="D214" s="8">
        <v>10.186749636442809</v>
      </c>
      <c r="E214" s="8">
        <v>72.565172119058303</v>
      </c>
      <c r="F214" s="9">
        <v>86799.301122991266</v>
      </c>
      <c r="G214" s="10">
        <v>0</v>
      </c>
      <c r="H214" s="9">
        <v>150000</v>
      </c>
      <c r="I214" s="10">
        <v>1</v>
      </c>
      <c r="J214" s="9">
        <v>150000</v>
      </c>
      <c r="K214" s="9">
        <v>18205.069128228195</v>
      </c>
      <c r="L214" s="10">
        <v>6</v>
      </c>
      <c r="M214" s="10">
        <v>1</v>
      </c>
      <c r="N214" s="9">
        <v>46832.5</v>
      </c>
      <c r="O214" s="9">
        <f t="shared" si="0"/>
        <v>3750</v>
      </c>
      <c r="P214" s="9">
        <f t="shared" si="1"/>
        <v>3000</v>
      </c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1:42" ht="13.2" x14ac:dyDescent="0.25">
      <c r="A215" s="3" t="s">
        <v>177</v>
      </c>
      <c r="B215" s="7">
        <v>44044</v>
      </c>
      <c r="C215" s="3" t="s">
        <v>36</v>
      </c>
      <c r="D215" s="8">
        <v>138.26898938114411</v>
      </c>
      <c r="E215" s="8">
        <v>174.17922052236651</v>
      </c>
      <c r="F215" s="9">
        <v>14743.278508644269</v>
      </c>
      <c r="G215" s="10">
        <v>1</v>
      </c>
      <c r="H215" s="9">
        <v>10000</v>
      </c>
      <c r="I215" s="10">
        <v>1</v>
      </c>
      <c r="J215" s="9">
        <v>10000</v>
      </c>
      <c r="K215" s="9">
        <v>610.76112580415088</v>
      </c>
      <c r="L215" s="10">
        <v>6</v>
      </c>
      <c r="M215" s="10">
        <v>0</v>
      </c>
      <c r="N215" s="9">
        <v>0</v>
      </c>
      <c r="O215" s="9">
        <f t="shared" si="0"/>
        <v>250</v>
      </c>
      <c r="P215" s="9">
        <f t="shared" si="1"/>
        <v>200</v>
      </c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1:42" ht="13.2" x14ac:dyDescent="0.25">
      <c r="A216" s="3" t="s">
        <v>144</v>
      </c>
      <c r="B216" s="7">
        <v>44044</v>
      </c>
      <c r="C216" s="3" t="s">
        <v>36</v>
      </c>
      <c r="D216" s="8">
        <v>9.9482640287958013</v>
      </c>
      <c r="E216" s="8">
        <v>176.01496935552757</v>
      </c>
      <c r="F216" s="9">
        <v>52023.537566727173</v>
      </c>
      <c r="G216" s="10">
        <v>-1</v>
      </c>
      <c r="H216" s="9">
        <v>50000</v>
      </c>
      <c r="I216" s="10">
        <v>0</v>
      </c>
      <c r="J216" s="9">
        <v>0</v>
      </c>
      <c r="K216" s="9">
        <v>0</v>
      </c>
      <c r="L216" s="10">
        <v>0</v>
      </c>
      <c r="M216" s="10">
        <v>0</v>
      </c>
      <c r="N216" s="9">
        <v>0</v>
      </c>
      <c r="O216" s="9">
        <f t="shared" si="0"/>
        <v>0</v>
      </c>
      <c r="P216" s="9">
        <f t="shared" si="1"/>
        <v>0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1:42" ht="13.2" x14ac:dyDescent="0.25">
      <c r="A217" s="3" t="s">
        <v>38</v>
      </c>
      <c r="B217" s="7">
        <v>44044</v>
      </c>
      <c r="C217" s="3" t="s">
        <v>39</v>
      </c>
      <c r="D217" s="8">
        <v>55.9379907611264</v>
      </c>
      <c r="E217" s="8">
        <v>290.28309268152128</v>
      </c>
      <c r="F217" s="9">
        <v>352615.5852202205</v>
      </c>
      <c r="G217" s="10">
        <v>0</v>
      </c>
      <c r="H217" s="9">
        <v>290000</v>
      </c>
      <c r="I217" s="10">
        <v>1</v>
      </c>
      <c r="J217" s="9">
        <v>290000</v>
      </c>
      <c r="K217" s="9">
        <v>43152.021440267803</v>
      </c>
      <c r="L217" s="10">
        <v>9</v>
      </c>
      <c r="M217" s="10">
        <v>0</v>
      </c>
      <c r="N217" s="9">
        <v>0</v>
      </c>
      <c r="O217" s="9">
        <f t="shared" si="0"/>
        <v>7250</v>
      </c>
      <c r="P217" s="9">
        <f t="shared" si="1"/>
        <v>5800</v>
      </c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ht="13.2" x14ac:dyDescent="0.25">
      <c r="A218" s="3" t="s">
        <v>178</v>
      </c>
      <c r="B218" s="7">
        <v>44044</v>
      </c>
      <c r="C218" s="3" t="s">
        <v>39</v>
      </c>
      <c r="D218" s="8">
        <v>100.00633198421797</v>
      </c>
      <c r="E218" s="8">
        <v>218.30281353949684</v>
      </c>
      <c r="F218" s="9">
        <v>107218.44824453731</v>
      </c>
      <c r="G218" s="10">
        <v>-1</v>
      </c>
      <c r="H218" s="9">
        <v>70000</v>
      </c>
      <c r="I218" s="10">
        <v>1</v>
      </c>
      <c r="J218" s="9">
        <v>70000</v>
      </c>
      <c r="K218" s="9">
        <v>3941.389225647923</v>
      </c>
      <c r="L218" s="10">
        <v>6</v>
      </c>
      <c r="M218" s="10">
        <v>0</v>
      </c>
      <c r="N218" s="9">
        <v>0</v>
      </c>
      <c r="O218" s="9">
        <f t="shared" si="0"/>
        <v>1750</v>
      </c>
      <c r="P218" s="9">
        <f t="shared" si="1"/>
        <v>1400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1:42" ht="13.2" x14ac:dyDescent="0.25">
      <c r="A219" s="3" t="s">
        <v>58</v>
      </c>
      <c r="B219" s="7">
        <v>44044</v>
      </c>
      <c r="C219" s="3" t="s">
        <v>36</v>
      </c>
      <c r="D219" s="8">
        <v>42.498219624730154</v>
      </c>
      <c r="E219" s="8">
        <v>307.11498884573257</v>
      </c>
      <c r="F219" s="9">
        <v>206776.6673604504</v>
      </c>
      <c r="G219" s="10">
        <v>-1</v>
      </c>
      <c r="H219" s="9">
        <v>170000</v>
      </c>
      <c r="I219" s="10">
        <v>0</v>
      </c>
      <c r="J219" s="9">
        <v>0</v>
      </c>
      <c r="K219" s="9">
        <v>0</v>
      </c>
      <c r="L219" s="10">
        <v>0</v>
      </c>
      <c r="M219" s="10">
        <v>0</v>
      </c>
      <c r="N219" s="9">
        <v>0</v>
      </c>
      <c r="O219" s="9">
        <f t="shared" si="0"/>
        <v>0</v>
      </c>
      <c r="P219" s="9">
        <f t="shared" si="1"/>
        <v>0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1:42" ht="13.2" x14ac:dyDescent="0.25">
      <c r="A220" s="3" t="s">
        <v>179</v>
      </c>
      <c r="B220" s="7">
        <v>44044</v>
      </c>
      <c r="C220" s="3" t="s">
        <v>36</v>
      </c>
      <c r="D220" s="8">
        <v>8.6117152705985838</v>
      </c>
      <c r="E220" s="8">
        <v>78.985965286192794</v>
      </c>
      <c r="F220" s="9">
        <v>27684.923911137277</v>
      </c>
      <c r="G220" s="10">
        <v>0</v>
      </c>
      <c r="H220" s="9">
        <v>50000</v>
      </c>
      <c r="I220" s="10">
        <v>1</v>
      </c>
      <c r="J220" s="9">
        <v>50000</v>
      </c>
      <c r="K220" s="9">
        <v>4042.1416007751009</v>
      </c>
      <c r="L220" s="10">
        <v>6</v>
      </c>
      <c r="M220" s="10">
        <v>0</v>
      </c>
      <c r="N220" s="9">
        <v>0</v>
      </c>
      <c r="O220" s="9">
        <f t="shared" si="0"/>
        <v>1250</v>
      </c>
      <c r="P220" s="9">
        <f t="shared" si="1"/>
        <v>1000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spans="1:42" ht="13.2" x14ac:dyDescent="0.25">
      <c r="A221" s="3" t="s">
        <v>180</v>
      </c>
      <c r="B221" s="7">
        <v>44044</v>
      </c>
      <c r="C221" s="3" t="s">
        <v>36</v>
      </c>
      <c r="D221" s="8">
        <v>20.255847657127187</v>
      </c>
      <c r="E221" s="8">
        <v>193.7426264909387</v>
      </c>
      <c r="F221" s="9">
        <v>734328.96816378587</v>
      </c>
      <c r="G221" s="10">
        <v>0</v>
      </c>
      <c r="H221" s="9">
        <v>900000</v>
      </c>
      <c r="I221" s="10">
        <v>1</v>
      </c>
      <c r="J221" s="9">
        <v>900000</v>
      </c>
      <c r="K221" s="9">
        <v>61728.353853525674</v>
      </c>
      <c r="L221" s="10">
        <v>7</v>
      </c>
      <c r="M221" s="10">
        <v>0</v>
      </c>
      <c r="N221" s="9">
        <v>0</v>
      </c>
      <c r="O221" s="9">
        <f t="shared" si="0"/>
        <v>22500</v>
      </c>
      <c r="P221" s="9">
        <f t="shared" si="1"/>
        <v>18000</v>
      </c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ht="13.2" x14ac:dyDescent="0.25">
      <c r="A222" s="3" t="s">
        <v>181</v>
      </c>
      <c r="B222" s="7">
        <v>44044</v>
      </c>
      <c r="C222" s="3" t="s">
        <v>36</v>
      </c>
      <c r="D222" s="8">
        <v>3</v>
      </c>
      <c r="E222" s="8">
        <v>183.67615494357642</v>
      </c>
      <c r="F222" s="9">
        <v>7433.8803885469888</v>
      </c>
      <c r="G222" s="10">
        <v>-1</v>
      </c>
      <c r="H222" s="9">
        <v>10000</v>
      </c>
      <c r="I222" s="10">
        <v>0</v>
      </c>
      <c r="J222" s="9">
        <v>0</v>
      </c>
      <c r="K222" s="9">
        <v>0</v>
      </c>
      <c r="L222" s="10">
        <v>0</v>
      </c>
      <c r="M222" s="10">
        <v>0</v>
      </c>
      <c r="N222" s="9">
        <v>0</v>
      </c>
      <c r="O222" s="9">
        <f t="shared" si="0"/>
        <v>0</v>
      </c>
      <c r="P222" s="9">
        <f t="shared" si="1"/>
        <v>0</v>
      </c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spans="1:42" ht="13.2" x14ac:dyDescent="0.25">
      <c r="A223" s="3" t="s">
        <v>182</v>
      </c>
      <c r="B223" s="7">
        <v>44044</v>
      </c>
      <c r="C223" s="3" t="s">
        <v>36</v>
      </c>
      <c r="D223" s="8">
        <v>3</v>
      </c>
      <c r="E223" s="8">
        <v>307.03677257181982</v>
      </c>
      <c r="F223" s="9">
        <v>33850.32143855191</v>
      </c>
      <c r="G223" s="10">
        <v>0</v>
      </c>
      <c r="H223" s="9">
        <v>50000</v>
      </c>
      <c r="I223" s="10">
        <v>1</v>
      </c>
      <c r="J223" s="9">
        <v>50000</v>
      </c>
      <c r="K223" s="9">
        <v>2298.1591386796276</v>
      </c>
      <c r="L223" s="10">
        <v>6</v>
      </c>
      <c r="M223" s="10">
        <v>0</v>
      </c>
      <c r="N223" s="9">
        <v>0</v>
      </c>
      <c r="O223" s="9">
        <f t="shared" si="0"/>
        <v>1250</v>
      </c>
      <c r="P223" s="9">
        <f t="shared" si="1"/>
        <v>1000</v>
      </c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spans="1:42" ht="13.2" x14ac:dyDescent="0.25">
      <c r="A224" s="3" t="s">
        <v>183</v>
      </c>
      <c r="B224" s="7">
        <v>44044</v>
      </c>
      <c r="C224" s="3" t="s">
        <v>36</v>
      </c>
      <c r="D224" s="8">
        <v>34.227160472642588</v>
      </c>
      <c r="E224" s="8">
        <v>112.99810437543611</v>
      </c>
      <c r="F224" s="9">
        <v>7816.326877807317</v>
      </c>
      <c r="G224" s="10">
        <v>0</v>
      </c>
      <c r="H224" s="9">
        <v>10000</v>
      </c>
      <c r="I224" s="10">
        <v>0</v>
      </c>
      <c r="J224" s="9">
        <v>0</v>
      </c>
      <c r="K224" s="9">
        <v>0</v>
      </c>
      <c r="L224" s="10">
        <v>0</v>
      </c>
      <c r="M224" s="10">
        <v>0</v>
      </c>
      <c r="N224" s="9">
        <v>0</v>
      </c>
      <c r="O224" s="9">
        <f t="shared" si="0"/>
        <v>0</v>
      </c>
      <c r="P224" s="9">
        <f t="shared" si="1"/>
        <v>0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spans="1:42" ht="13.2" x14ac:dyDescent="0.25">
      <c r="A225" s="3" t="s">
        <v>146</v>
      </c>
      <c r="B225" s="7">
        <v>44044</v>
      </c>
      <c r="C225" s="3" t="s">
        <v>36</v>
      </c>
      <c r="D225" s="8">
        <v>3.7804451257258593</v>
      </c>
      <c r="E225" s="8">
        <v>60</v>
      </c>
      <c r="F225" s="9">
        <v>41515.724007849538</v>
      </c>
      <c r="G225" s="10">
        <v>0</v>
      </c>
      <c r="H225" s="9">
        <v>80000</v>
      </c>
      <c r="I225" s="10">
        <v>1</v>
      </c>
      <c r="J225" s="9">
        <v>80000</v>
      </c>
      <c r="K225" s="9">
        <v>6658.6505768471952</v>
      </c>
      <c r="L225" s="10">
        <v>6</v>
      </c>
      <c r="M225" s="10">
        <v>1</v>
      </c>
      <c r="N225" s="9">
        <v>45343</v>
      </c>
      <c r="O225" s="9">
        <f t="shared" si="0"/>
        <v>2000</v>
      </c>
      <c r="P225" s="9">
        <f t="shared" si="1"/>
        <v>1600</v>
      </c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 ht="13.2" x14ac:dyDescent="0.25">
      <c r="A226" s="3" t="s">
        <v>133</v>
      </c>
      <c r="B226" s="7">
        <v>44044</v>
      </c>
      <c r="C226" s="3" t="s">
        <v>36</v>
      </c>
      <c r="D226" s="8">
        <v>28.442391731309346</v>
      </c>
      <c r="E226" s="8">
        <v>332.98740047511387</v>
      </c>
      <c r="F226" s="9">
        <v>16039.631330744212</v>
      </c>
      <c r="G226" s="10">
        <v>-1</v>
      </c>
      <c r="H226" s="9">
        <v>10000</v>
      </c>
      <c r="I226" s="10">
        <v>1</v>
      </c>
      <c r="J226" s="9">
        <v>10000</v>
      </c>
      <c r="K226" s="9">
        <v>1123.7832832283066</v>
      </c>
      <c r="L226" s="10">
        <v>6</v>
      </c>
      <c r="M226" s="10">
        <v>0</v>
      </c>
      <c r="N226" s="9">
        <v>0</v>
      </c>
      <c r="O226" s="9">
        <f t="shared" si="0"/>
        <v>250</v>
      </c>
      <c r="P226" s="9">
        <f t="shared" si="1"/>
        <v>200</v>
      </c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:42" ht="13.2" x14ac:dyDescent="0.25">
      <c r="A227" s="3" t="s">
        <v>91</v>
      </c>
      <c r="B227" s="7">
        <v>44044</v>
      </c>
      <c r="C227" s="3" t="s">
        <v>39</v>
      </c>
      <c r="D227" s="8">
        <v>39.328998092972192</v>
      </c>
      <c r="E227" s="8">
        <v>295.83752448509694</v>
      </c>
      <c r="F227" s="9">
        <v>75045.895790452152</v>
      </c>
      <c r="G227" s="10">
        <v>-1</v>
      </c>
      <c r="H227" s="9">
        <v>60000</v>
      </c>
      <c r="I227" s="10">
        <v>0</v>
      </c>
      <c r="J227" s="9">
        <v>0</v>
      </c>
      <c r="K227" s="9">
        <v>0</v>
      </c>
      <c r="L227" s="10">
        <v>0</v>
      </c>
      <c r="M227" s="10">
        <v>0</v>
      </c>
      <c r="N227" s="9">
        <v>0</v>
      </c>
      <c r="O227" s="9">
        <f t="shared" si="0"/>
        <v>0</v>
      </c>
      <c r="P227" s="9">
        <f t="shared" si="1"/>
        <v>0</v>
      </c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spans="1:42" ht="13.2" x14ac:dyDescent="0.25">
      <c r="A228" s="3" t="s">
        <v>68</v>
      </c>
      <c r="B228" s="7">
        <v>44044</v>
      </c>
      <c r="C228" s="3" t="s">
        <v>39</v>
      </c>
      <c r="D228" s="8">
        <v>40.662286810446176</v>
      </c>
      <c r="E228" s="8">
        <v>126.75267419651779</v>
      </c>
      <c r="F228" s="9">
        <v>382005.43425698363</v>
      </c>
      <c r="G228" s="10">
        <v>1</v>
      </c>
      <c r="H228" s="9">
        <v>680000</v>
      </c>
      <c r="I228" s="10">
        <v>0</v>
      </c>
      <c r="J228" s="9">
        <v>0</v>
      </c>
      <c r="K228" s="9">
        <v>0</v>
      </c>
      <c r="L228" s="10">
        <v>0</v>
      </c>
      <c r="M228" s="10">
        <v>0</v>
      </c>
      <c r="N228" s="9">
        <v>0</v>
      </c>
      <c r="O228" s="9">
        <f t="shared" si="0"/>
        <v>0</v>
      </c>
      <c r="P228" s="9">
        <f t="shared" si="1"/>
        <v>0</v>
      </c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spans="1:42" ht="13.2" x14ac:dyDescent="0.25">
      <c r="A229" s="3" t="s">
        <v>184</v>
      </c>
      <c r="B229" s="7">
        <v>44044</v>
      </c>
      <c r="C229" s="3" t="s">
        <v>36</v>
      </c>
      <c r="D229" s="8">
        <v>43.291446553280863</v>
      </c>
      <c r="E229" s="8">
        <v>123.98715318212298</v>
      </c>
      <c r="F229" s="9">
        <v>112423.68388845003</v>
      </c>
      <c r="G229" s="10">
        <v>-1</v>
      </c>
      <c r="H229" s="9">
        <v>100000</v>
      </c>
      <c r="I229" s="10">
        <v>1</v>
      </c>
      <c r="J229" s="9">
        <v>100000</v>
      </c>
      <c r="K229" s="9">
        <v>7383.6348034296352</v>
      </c>
      <c r="L229" s="10">
        <v>6</v>
      </c>
      <c r="M229" s="10">
        <v>0</v>
      </c>
      <c r="N229" s="9">
        <v>0</v>
      </c>
      <c r="O229" s="9">
        <f t="shared" si="0"/>
        <v>2500</v>
      </c>
      <c r="P229" s="9">
        <f t="shared" si="1"/>
        <v>2000</v>
      </c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 ht="13.2" x14ac:dyDescent="0.25">
      <c r="A230" s="3" t="s">
        <v>185</v>
      </c>
      <c r="B230" s="7">
        <v>44044</v>
      </c>
      <c r="C230" s="3" t="s">
        <v>36</v>
      </c>
      <c r="D230" s="8">
        <v>72.631394464018769</v>
      </c>
      <c r="E230" s="8">
        <v>349.67071842056197</v>
      </c>
      <c r="F230" s="9">
        <v>381505.30171820859</v>
      </c>
      <c r="G230" s="10">
        <v>1</v>
      </c>
      <c r="H230" s="9">
        <v>270000</v>
      </c>
      <c r="I230" s="10">
        <v>1</v>
      </c>
      <c r="J230" s="9">
        <v>270000</v>
      </c>
      <c r="K230" s="9">
        <v>22045.397410171146</v>
      </c>
      <c r="L230" s="10">
        <v>6</v>
      </c>
      <c r="M230" s="10">
        <v>0</v>
      </c>
      <c r="N230" s="9">
        <v>0</v>
      </c>
      <c r="O230" s="9">
        <f t="shared" si="0"/>
        <v>6750</v>
      </c>
      <c r="P230" s="9">
        <f t="shared" si="1"/>
        <v>5400</v>
      </c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spans="1:42" ht="13.2" x14ac:dyDescent="0.25">
      <c r="A231" s="3" t="s">
        <v>186</v>
      </c>
      <c r="B231" s="7">
        <v>44044</v>
      </c>
      <c r="C231" s="3" t="s">
        <v>36</v>
      </c>
      <c r="D231" s="8">
        <v>3</v>
      </c>
      <c r="E231" s="8">
        <v>228.67557711251169</v>
      </c>
      <c r="F231" s="9">
        <v>35406.571077804067</v>
      </c>
      <c r="G231" s="10">
        <v>1</v>
      </c>
      <c r="H231" s="9">
        <v>30000</v>
      </c>
      <c r="I231" s="10">
        <v>1</v>
      </c>
      <c r="J231" s="9">
        <v>30000</v>
      </c>
      <c r="K231" s="9">
        <v>1578.8300209554609</v>
      </c>
      <c r="L231" s="10">
        <v>6</v>
      </c>
      <c r="M231" s="10">
        <v>0</v>
      </c>
      <c r="N231" s="9">
        <v>0</v>
      </c>
      <c r="O231" s="9">
        <f t="shared" si="0"/>
        <v>750</v>
      </c>
      <c r="P231" s="9">
        <f t="shared" si="1"/>
        <v>600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spans="1:42" ht="13.2" x14ac:dyDescent="0.25">
      <c r="A232" s="3" t="s">
        <v>37</v>
      </c>
      <c r="B232" s="7">
        <v>44044</v>
      </c>
      <c r="C232" s="3" t="s">
        <v>36</v>
      </c>
      <c r="D232" s="8">
        <v>92.54801765807494</v>
      </c>
      <c r="E232" s="8">
        <v>294.34476037562501</v>
      </c>
      <c r="F232" s="9">
        <v>143825.37256441682</v>
      </c>
      <c r="G232" s="10">
        <v>-1</v>
      </c>
      <c r="H232" s="9">
        <v>100000</v>
      </c>
      <c r="I232" s="10">
        <v>1</v>
      </c>
      <c r="J232" s="9">
        <v>100000</v>
      </c>
      <c r="K232" s="9">
        <v>3243.3520189483811</v>
      </c>
      <c r="L232" s="10">
        <v>8</v>
      </c>
      <c r="M232" s="10">
        <v>0</v>
      </c>
      <c r="N232" s="9">
        <v>0</v>
      </c>
      <c r="O232" s="9">
        <f t="shared" si="0"/>
        <v>2500</v>
      </c>
      <c r="P232" s="9">
        <f t="shared" si="1"/>
        <v>2000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spans="1:42" ht="13.2" x14ac:dyDescent="0.25">
      <c r="A233" s="3" t="s">
        <v>115</v>
      </c>
      <c r="B233" s="7">
        <v>44044</v>
      </c>
      <c r="C233" s="3" t="s">
        <v>36</v>
      </c>
      <c r="D233" s="8">
        <v>40.951042519161945</v>
      </c>
      <c r="E233" s="8">
        <v>138.21346957021166</v>
      </c>
      <c r="F233" s="9">
        <v>636142.52678009181</v>
      </c>
      <c r="G233" s="10">
        <v>0</v>
      </c>
      <c r="H233" s="9">
        <v>900000</v>
      </c>
      <c r="I233" s="10">
        <v>1</v>
      </c>
      <c r="J233" s="9">
        <v>900000</v>
      </c>
      <c r="K233" s="9">
        <v>51141.342606436694</v>
      </c>
      <c r="L233" s="10">
        <v>6</v>
      </c>
      <c r="M233" s="10">
        <v>1</v>
      </c>
      <c r="N233" s="9">
        <v>431225.46737911616</v>
      </c>
      <c r="O233" s="9">
        <f t="shared" si="0"/>
        <v>22500</v>
      </c>
      <c r="P233" s="9">
        <f t="shared" si="1"/>
        <v>18000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 ht="13.2" x14ac:dyDescent="0.25">
      <c r="A234" s="3" t="s">
        <v>102</v>
      </c>
      <c r="B234" s="7">
        <v>44075</v>
      </c>
      <c r="C234" s="3" t="s">
        <v>36</v>
      </c>
      <c r="D234" s="8">
        <v>34.589413488837572</v>
      </c>
      <c r="E234" s="8">
        <v>76.416406693772089</v>
      </c>
      <c r="F234" s="9">
        <v>90897.522874244984</v>
      </c>
      <c r="G234" s="10">
        <v>0</v>
      </c>
      <c r="H234" s="9">
        <v>130000</v>
      </c>
      <c r="I234" s="10">
        <v>1</v>
      </c>
      <c r="J234" s="9">
        <v>130000</v>
      </c>
      <c r="K234" s="9">
        <v>14973.766896767773</v>
      </c>
      <c r="L234" s="10">
        <v>6</v>
      </c>
      <c r="M234" s="10">
        <v>0</v>
      </c>
      <c r="N234" s="9">
        <v>0</v>
      </c>
      <c r="O234" s="9">
        <f t="shared" si="0"/>
        <v>3250</v>
      </c>
      <c r="P234" s="9">
        <f t="shared" si="1"/>
        <v>2600</v>
      </c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spans="1:42" ht="13.2" x14ac:dyDescent="0.25">
      <c r="A235" s="3" t="s">
        <v>187</v>
      </c>
      <c r="B235" s="7">
        <v>44075</v>
      </c>
      <c r="C235" s="3" t="s">
        <v>36</v>
      </c>
      <c r="D235" s="8">
        <v>15.930560817537232</v>
      </c>
      <c r="E235" s="8">
        <v>274.06068342444416</v>
      </c>
      <c r="F235" s="9">
        <v>131460.22874496906</v>
      </c>
      <c r="G235" s="10">
        <v>0</v>
      </c>
      <c r="H235" s="9">
        <v>90000</v>
      </c>
      <c r="I235" s="10">
        <v>0</v>
      </c>
      <c r="J235" s="9">
        <v>0</v>
      </c>
      <c r="K235" s="9">
        <v>0</v>
      </c>
      <c r="L235" s="10">
        <v>0</v>
      </c>
      <c r="M235" s="10">
        <v>0</v>
      </c>
      <c r="N235" s="9">
        <v>0</v>
      </c>
      <c r="O235" s="9">
        <f t="shared" si="0"/>
        <v>0</v>
      </c>
      <c r="P235" s="9">
        <f t="shared" si="1"/>
        <v>0</v>
      </c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spans="1:42" ht="13.2" x14ac:dyDescent="0.25">
      <c r="A236" s="3" t="s">
        <v>188</v>
      </c>
      <c r="B236" s="7">
        <v>44075</v>
      </c>
      <c r="C236" s="3" t="s">
        <v>39</v>
      </c>
      <c r="D236" s="8">
        <v>12.029003284210567</v>
      </c>
      <c r="E236" s="8">
        <v>133.68410212086573</v>
      </c>
      <c r="F236" s="9">
        <v>170443.05065571002</v>
      </c>
      <c r="G236" s="10">
        <v>0</v>
      </c>
      <c r="H236" s="9">
        <v>228000</v>
      </c>
      <c r="I236" s="10">
        <v>1</v>
      </c>
      <c r="J236" s="9">
        <v>228000</v>
      </c>
      <c r="K236" s="9">
        <v>23632.812440004465</v>
      </c>
      <c r="L236" s="10">
        <v>6</v>
      </c>
      <c r="M236" s="10">
        <v>0</v>
      </c>
      <c r="N236" s="9">
        <v>0</v>
      </c>
      <c r="O236" s="9">
        <f t="shared" si="0"/>
        <v>5700</v>
      </c>
      <c r="P236" s="9">
        <f t="shared" si="1"/>
        <v>4560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spans="1:42" ht="13.2" x14ac:dyDescent="0.25">
      <c r="A237" s="3" t="s">
        <v>189</v>
      </c>
      <c r="B237" s="7">
        <v>44075</v>
      </c>
      <c r="C237" s="3" t="s">
        <v>36</v>
      </c>
      <c r="D237" s="8">
        <v>41.62450486693583</v>
      </c>
      <c r="E237" s="8">
        <v>172.55197223754789</v>
      </c>
      <c r="F237" s="9">
        <v>456.23525679180693</v>
      </c>
      <c r="G237" s="10">
        <v>-1</v>
      </c>
      <c r="H237" s="9">
        <v>392.15686274509801</v>
      </c>
      <c r="I237" s="10">
        <v>0</v>
      </c>
      <c r="J237" s="9">
        <v>0</v>
      </c>
      <c r="K237" s="9">
        <v>0</v>
      </c>
      <c r="L237" s="10">
        <v>0</v>
      </c>
      <c r="M237" s="10">
        <v>0</v>
      </c>
      <c r="N237" s="9">
        <v>0</v>
      </c>
      <c r="O237" s="9">
        <f t="shared" si="0"/>
        <v>0</v>
      </c>
      <c r="P237" s="9">
        <f t="shared" si="1"/>
        <v>0</v>
      </c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 ht="13.2" x14ac:dyDescent="0.25">
      <c r="A238" s="3" t="s">
        <v>190</v>
      </c>
      <c r="B238" s="7">
        <v>44075</v>
      </c>
      <c r="C238" s="3" t="s">
        <v>39</v>
      </c>
      <c r="D238" s="8">
        <v>23.73047284143928</v>
      </c>
      <c r="E238" s="8">
        <v>113.12154148753963</v>
      </c>
      <c r="F238" s="9">
        <v>18666.01226808002</v>
      </c>
      <c r="G238" s="10">
        <v>-1</v>
      </c>
      <c r="H238" s="9">
        <v>30000</v>
      </c>
      <c r="I238" s="10">
        <v>0</v>
      </c>
      <c r="J238" s="9">
        <v>0</v>
      </c>
      <c r="K238" s="9">
        <v>0</v>
      </c>
      <c r="L238" s="10">
        <v>0</v>
      </c>
      <c r="M238" s="10">
        <v>0</v>
      </c>
      <c r="N238" s="9">
        <v>0</v>
      </c>
      <c r="O238" s="9">
        <f t="shared" si="0"/>
        <v>0</v>
      </c>
      <c r="P238" s="9">
        <f t="shared" si="1"/>
        <v>0</v>
      </c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spans="1:42" ht="13.2" x14ac:dyDescent="0.25">
      <c r="A239" s="3" t="s">
        <v>191</v>
      </c>
      <c r="B239" s="7">
        <v>44075</v>
      </c>
      <c r="C239" s="3" t="s">
        <v>39</v>
      </c>
      <c r="D239" s="8">
        <v>3</v>
      </c>
      <c r="E239" s="8">
        <v>143.45121371078449</v>
      </c>
      <c r="F239" s="9">
        <v>24020.282711340042</v>
      </c>
      <c r="G239" s="10">
        <v>1</v>
      </c>
      <c r="H239" s="9">
        <v>40000</v>
      </c>
      <c r="I239" s="10">
        <v>0</v>
      </c>
      <c r="J239" s="9">
        <v>0</v>
      </c>
      <c r="K239" s="9">
        <v>0</v>
      </c>
      <c r="L239" s="10">
        <v>0</v>
      </c>
      <c r="M239" s="10">
        <v>0</v>
      </c>
      <c r="N239" s="9">
        <v>0</v>
      </c>
      <c r="O239" s="9">
        <f t="shared" si="0"/>
        <v>0</v>
      </c>
      <c r="P239" s="9">
        <f t="shared" si="1"/>
        <v>0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spans="1:42" ht="13.2" x14ac:dyDescent="0.25">
      <c r="A240" s="3" t="s">
        <v>141</v>
      </c>
      <c r="B240" s="7">
        <v>44075</v>
      </c>
      <c r="C240" s="3" t="s">
        <v>36</v>
      </c>
      <c r="D240" s="8">
        <v>29.173112321460334</v>
      </c>
      <c r="E240" s="8">
        <v>338.5068710726328</v>
      </c>
      <c r="F240" s="9">
        <v>46381.947004378359</v>
      </c>
      <c r="G240" s="10">
        <v>0</v>
      </c>
      <c r="H240" s="9">
        <v>30000</v>
      </c>
      <c r="I240" s="10">
        <v>0</v>
      </c>
      <c r="J240" s="9">
        <v>0</v>
      </c>
      <c r="K240" s="9">
        <v>0</v>
      </c>
      <c r="L240" s="10">
        <v>0</v>
      </c>
      <c r="M240" s="10">
        <v>0</v>
      </c>
      <c r="N240" s="9">
        <v>0</v>
      </c>
      <c r="O240" s="9">
        <f t="shared" si="0"/>
        <v>0</v>
      </c>
      <c r="P240" s="9">
        <f t="shared" si="1"/>
        <v>0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spans="1:42" ht="13.2" x14ac:dyDescent="0.25">
      <c r="A241" s="3" t="s">
        <v>192</v>
      </c>
      <c r="B241" s="7">
        <v>44075</v>
      </c>
      <c r="C241" s="3" t="s">
        <v>36</v>
      </c>
      <c r="D241" s="8">
        <v>55.854600265874403</v>
      </c>
      <c r="E241" s="8">
        <v>60</v>
      </c>
      <c r="F241" s="9">
        <v>14371.583233006062</v>
      </c>
      <c r="G241" s="10">
        <v>0</v>
      </c>
      <c r="H241" s="9">
        <v>20000</v>
      </c>
      <c r="I241" s="10">
        <v>1</v>
      </c>
      <c r="J241" s="9">
        <v>20000</v>
      </c>
      <c r="K241" s="9">
        <v>1769.8588678921824</v>
      </c>
      <c r="L241" s="10">
        <v>6</v>
      </c>
      <c r="M241" s="10">
        <v>1</v>
      </c>
      <c r="N241" s="9">
        <v>9426.4220048804946</v>
      </c>
      <c r="O241" s="9">
        <f t="shared" si="0"/>
        <v>500</v>
      </c>
      <c r="P241" s="9">
        <f t="shared" si="1"/>
        <v>400</v>
      </c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 ht="13.2" x14ac:dyDescent="0.25">
      <c r="A242" s="3" t="s">
        <v>193</v>
      </c>
      <c r="B242" s="7">
        <v>44075</v>
      </c>
      <c r="C242" s="3" t="s">
        <v>39</v>
      </c>
      <c r="D242" s="8">
        <v>54.95890239759386</v>
      </c>
      <c r="E242" s="8">
        <v>121.83926187500251</v>
      </c>
      <c r="F242" s="9">
        <v>159746.02275786261</v>
      </c>
      <c r="G242" s="10">
        <v>0</v>
      </c>
      <c r="H242" s="9">
        <v>160000</v>
      </c>
      <c r="I242" s="10">
        <v>0</v>
      </c>
      <c r="J242" s="9">
        <v>0</v>
      </c>
      <c r="K242" s="9">
        <v>0</v>
      </c>
      <c r="L242" s="10">
        <v>0</v>
      </c>
      <c r="M242" s="10">
        <v>0</v>
      </c>
      <c r="N242" s="9">
        <v>0</v>
      </c>
      <c r="O242" s="9">
        <f t="shared" si="0"/>
        <v>0</v>
      </c>
      <c r="P242" s="9">
        <f t="shared" si="1"/>
        <v>0</v>
      </c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spans="1:42" ht="13.2" x14ac:dyDescent="0.25">
      <c r="A243" s="3" t="s">
        <v>194</v>
      </c>
      <c r="B243" s="7">
        <v>44075</v>
      </c>
      <c r="C243" s="3" t="s">
        <v>36</v>
      </c>
      <c r="D243" s="8">
        <v>63.450710967835754</v>
      </c>
      <c r="E243" s="8">
        <v>60</v>
      </c>
      <c r="F243" s="9">
        <v>103925.08328093785</v>
      </c>
      <c r="G243" s="10">
        <v>1</v>
      </c>
      <c r="H243" s="9">
        <v>130000</v>
      </c>
      <c r="I243" s="10">
        <v>0</v>
      </c>
      <c r="J243" s="9">
        <v>0</v>
      </c>
      <c r="K243" s="9">
        <v>0</v>
      </c>
      <c r="L243" s="10">
        <v>0</v>
      </c>
      <c r="M243" s="10">
        <v>0</v>
      </c>
      <c r="N243" s="9">
        <v>0</v>
      </c>
      <c r="O243" s="9">
        <f t="shared" si="0"/>
        <v>0</v>
      </c>
      <c r="P243" s="9">
        <f t="shared" si="1"/>
        <v>0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spans="1:42" ht="13.2" x14ac:dyDescent="0.25">
      <c r="A244" s="3" t="s">
        <v>132</v>
      </c>
      <c r="B244" s="7">
        <v>44075</v>
      </c>
      <c r="C244" s="3" t="s">
        <v>36</v>
      </c>
      <c r="D244" s="8">
        <v>71.591274068865729</v>
      </c>
      <c r="E244" s="8">
        <v>203.72751239079187</v>
      </c>
      <c r="F244" s="9">
        <v>229789.3466371143</v>
      </c>
      <c r="G244" s="10">
        <v>0</v>
      </c>
      <c r="H244" s="9">
        <v>150000</v>
      </c>
      <c r="I244" s="10">
        <v>1</v>
      </c>
      <c r="J244" s="9">
        <v>150000</v>
      </c>
      <c r="K244" s="9">
        <v>9915.2817941923258</v>
      </c>
      <c r="L244" s="10">
        <v>6</v>
      </c>
      <c r="M244" s="10">
        <v>0</v>
      </c>
      <c r="N244" s="9">
        <v>0</v>
      </c>
      <c r="O244" s="9">
        <f t="shared" si="0"/>
        <v>3750</v>
      </c>
      <c r="P244" s="9">
        <f t="shared" si="1"/>
        <v>3000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spans="1:42" ht="13.2" x14ac:dyDescent="0.25">
      <c r="A245" s="3" t="s">
        <v>175</v>
      </c>
      <c r="B245" s="7">
        <v>44075</v>
      </c>
      <c r="C245" s="3" t="s">
        <v>36</v>
      </c>
      <c r="D245" s="8">
        <v>28.341848670322232</v>
      </c>
      <c r="E245" s="8">
        <v>156.79825696729608</v>
      </c>
      <c r="F245" s="9">
        <v>118732.46928053153</v>
      </c>
      <c r="G245" s="10">
        <v>-1</v>
      </c>
      <c r="H245" s="9">
        <v>150000</v>
      </c>
      <c r="I245" s="10">
        <v>1</v>
      </c>
      <c r="J245" s="9">
        <v>150000</v>
      </c>
      <c r="K245" s="9">
        <v>10494.205618408772</v>
      </c>
      <c r="L245" s="10">
        <v>6</v>
      </c>
      <c r="M245" s="10">
        <v>0</v>
      </c>
      <c r="N245" s="9">
        <v>0</v>
      </c>
      <c r="O245" s="9">
        <f t="shared" si="0"/>
        <v>3750</v>
      </c>
      <c r="P245" s="9">
        <f t="shared" si="1"/>
        <v>3000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 ht="13.2" x14ac:dyDescent="0.25">
      <c r="A246" s="3" t="s">
        <v>195</v>
      </c>
      <c r="B246" s="7">
        <v>44075</v>
      </c>
      <c r="C246" s="3" t="s">
        <v>36</v>
      </c>
      <c r="D246" s="8">
        <v>52.335464318584357</v>
      </c>
      <c r="E246" s="8">
        <v>110.35239919928917</v>
      </c>
      <c r="F246" s="9">
        <v>423965.16633258609</v>
      </c>
      <c r="G246" s="10">
        <v>1</v>
      </c>
      <c r="H246" s="9">
        <v>690000</v>
      </c>
      <c r="I246" s="10">
        <v>0</v>
      </c>
      <c r="J246" s="9">
        <v>0</v>
      </c>
      <c r="K246" s="9">
        <v>0</v>
      </c>
      <c r="L246" s="10">
        <v>0</v>
      </c>
      <c r="M246" s="10">
        <v>0</v>
      </c>
      <c r="N246" s="9">
        <v>0</v>
      </c>
      <c r="O246" s="9">
        <f t="shared" si="0"/>
        <v>0</v>
      </c>
      <c r="P246" s="9">
        <f t="shared" si="1"/>
        <v>0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spans="1:42" ht="13.2" x14ac:dyDescent="0.25">
      <c r="A247" s="3" t="s">
        <v>196</v>
      </c>
      <c r="B247" s="7">
        <v>44075</v>
      </c>
      <c r="C247" s="3" t="s">
        <v>36</v>
      </c>
      <c r="D247" s="8">
        <v>49.78126481899244</v>
      </c>
      <c r="E247" s="8">
        <v>133.08441676632103</v>
      </c>
      <c r="F247" s="9">
        <v>23562.208542094755</v>
      </c>
      <c r="G247" s="10">
        <v>0</v>
      </c>
      <c r="H247" s="9">
        <v>20000</v>
      </c>
      <c r="I247" s="10">
        <v>1</v>
      </c>
      <c r="J247" s="9">
        <v>20000</v>
      </c>
      <c r="K247" s="9">
        <v>601.69300217558305</v>
      </c>
      <c r="L247" s="10">
        <v>6</v>
      </c>
      <c r="M247" s="10">
        <v>0</v>
      </c>
      <c r="N247" s="9">
        <v>0</v>
      </c>
      <c r="O247" s="9">
        <f t="shared" si="0"/>
        <v>500</v>
      </c>
      <c r="P247" s="9">
        <f t="shared" si="1"/>
        <v>400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spans="1:42" ht="13.2" x14ac:dyDescent="0.25">
      <c r="A248" s="3" t="s">
        <v>197</v>
      </c>
      <c r="B248" s="7">
        <v>44075</v>
      </c>
      <c r="C248" s="3" t="s">
        <v>36</v>
      </c>
      <c r="D248" s="8">
        <v>48.510372241244447</v>
      </c>
      <c r="E248" s="8">
        <v>106.62000303007</v>
      </c>
      <c r="F248" s="9">
        <v>7774.0210843696623</v>
      </c>
      <c r="G248" s="10">
        <v>-1</v>
      </c>
      <c r="H248" s="9">
        <v>10000</v>
      </c>
      <c r="I248" s="10">
        <v>1</v>
      </c>
      <c r="J248" s="9">
        <v>10000</v>
      </c>
      <c r="K248" s="9">
        <v>969.36468371352191</v>
      </c>
      <c r="L248" s="10">
        <v>6</v>
      </c>
      <c r="M248" s="10">
        <v>0</v>
      </c>
      <c r="N248" s="9">
        <v>0</v>
      </c>
      <c r="O248" s="9">
        <f t="shared" si="0"/>
        <v>250</v>
      </c>
      <c r="P248" s="9">
        <f t="shared" si="1"/>
        <v>200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spans="1:42" ht="13.2" x14ac:dyDescent="0.25">
      <c r="A249" s="3" t="s">
        <v>198</v>
      </c>
      <c r="B249" s="7">
        <v>44075</v>
      </c>
      <c r="C249" s="3" t="s">
        <v>36</v>
      </c>
      <c r="D249" s="8">
        <v>3</v>
      </c>
      <c r="E249" s="8">
        <v>134.28168514943553</v>
      </c>
      <c r="F249" s="9">
        <v>27766.30787414471</v>
      </c>
      <c r="G249" s="10">
        <v>-1</v>
      </c>
      <c r="H249" s="9">
        <v>60000</v>
      </c>
      <c r="I249" s="10">
        <v>0</v>
      </c>
      <c r="J249" s="9">
        <v>0</v>
      </c>
      <c r="K249" s="9">
        <v>0</v>
      </c>
      <c r="L249" s="10">
        <v>0</v>
      </c>
      <c r="M249" s="10">
        <v>0</v>
      </c>
      <c r="N249" s="9">
        <v>0</v>
      </c>
      <c r="O249" s="9">
        <f t="shared" si="0"/>
        <v>0</v>
      </c>
      <c r="P249" s="9">
        <f t="shared" si="1"/>
        <v>0</v>
      </c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 ht="13.2" x14ac:dyDescent="0.25">
      <c r="A250" s="3" t="s">
        <v>199</v>
      </c>
      <c r="B250" s="7">
        <v>44075</v>
      </c>
      <c r="C250" s="3" t="s">
        <v>39</v>
      </c>
      <c r="D250" s="8">
        <v>9.8194673648957185</v>
      </c>
      <c r="E250" s="8">
        <v>248.29908477911823</v>
      </c>
      <c r="F250" s="9">
        <v>87160.386241937566</v>
      </c>
      <c r="G250" s="10">
        <v>1</v>
      </c>
      <c r="H250" s="9">
        <v>140000</v>
      </c>
      <c r="I250" s="10">
        <v>1</v>
      </c>
      <c r="J250" s="9">
        <v>140000</v>
      </c>
      <c r="K250" s="9">
        <v>18734.311685118992</v>
      </c>
      <c r="L250" s="10">
        <v>6</v>
      </c>
      <c r="M250" s="10">
        <v>0</v>
      </c>
      <c r="N250" s="9">
        <v>0</v>
      </c>
      <c r="O250" s="9">
        <f t="shared" si="0"/>
        <v>3500</v>
      </c>
      <c r="P250" s="9">
        <f t="shared" si="1"/>
        <v>2800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spans="1:42" ht="13.2" x14ac:dyDescent="0.25">
      <c r="A251" s="3" t="s">
        <v>200</v>
      </c>
      <c r="B251" s="7">
        <v>44075</v>
      </c>
      <c r="C251" s="3" t="s">
        <v>39</v>
      </c>
      <c r="D251" s="8">
        <v>81.193698350886478</v>
      </c>
      <c r="E251" s="8">
        <v>167.72386929113111</v>
      </c>
      <c r="F251" s="9">
        <v>830596.86121343507</v>
      </c>
      <c r="G251" s="10">
        <v>-1</v>
      </c>
      <c r="H251" s="9">
        <v>550000</v>
      </c>
      <c r="I251" s="10">
        <v>1</v>
      </c>
      <c r="J251" s="9">
        <v>550000</v>
      </c>
      <c r="K251" s="9">
        <v>78339.763350231267</v>
      </c>
      <c r="L251" s="10">
        <v>6</v>
      </c>
      <c r="M251" s="10">
        <v>0</v>
      </c>
      <c r="N251" s="9">
        <v>0</v>
      </c>
      <c r="O251" s="9">
        <f t="shared" si="0"/>
        <v>13750</v>
      </c>
      <c r="P251" s="9">
        <f t="shared" si="1"/>
        <v>11000</v>
      </c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spans="1:42" ht="13.2" x14ac:dyDescent="0.25">
      <c r="A252" s="3" t="s">
        <v>153</v>
      </c>
      <c r="B252" s="7">
        <v>44075</v>
      </c>
      <c r="C252" s="3" t="s">
        <v>36</v>
      </c>
      <c r="D252" s="8">
        <v>13.590876125604114</v>
      </c>
      <c r="E252" s="8">
        <v>205.45655235983057</v>
      </c>
      <c r="F252" s="9">
        <v>27637.209947151252</v>
      </c>
      <c r="G252" s="10">
        <v>-1</v>
      </c>
      <c r="H252" s="9">
        <v>40000</v>
      </c>
      <c r="I252" s="10">
        <v>0</v>
      </c>
      <c r="J252" s="9">
        <v>0</v>
      </c>
      <c r="K252" s="9">
        <v>0</v>
      </c>
      <c r="L252" s="10">
        <v>0</v>
      </c>
      <c r="M252" s="10">
        <v>0</v>
      </c>
      <c r="N252" s="9">
        <v>0</v>
      </c>
      <c r="O252" s="9">
        <f t="shared" si="0"/>
        <v>0</v>
      </c>
      <c r="P252" s="9">
        <f t="shared" si="1"/>
        <v>0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spans="1:42" ht="13.2" x14ac:dyDescent="0.25">
      <c r="A253" s="3" t="s">
        <v>201</v>
      </c>
      <c r="B253" s="7">
        <v>44075</v>
      </c>
      <c r="C253" s="3" t="s">
        <v>39</v>
      </c>
      <c r="D253" s="8">
        <v>5.633925351577437</v>
      </c>
      <c r="E253" s="8">
        <v>121.45880274862523</v>
      </c>
      <c r="F253" s="9">
        <v>44643.461047451812</v>
      </c>
      <c r="G253" s="10">
        <v>0</v>
      </c>
      <c r="H253" s="9">
        <v>90000</v>
      </c>
      <c r="I253" s="10">
        <v>0</v>
      </c>
      <c r="J253" s="9">
        <v>0</v>
      </c>
      <c r="K253" s="9">
        <v>0</v>
      </c>
      <c r="L253" s="10">
        <v>0</v>
      </c>
      <c r="M253" s="10">
        <v>0</v>
      </c>
      <c r="N253" s="9">
        <v>0</v>
      </c>
      <c r="O253" s="9">
        <f t="shared" si="0"/>
        <v>0</v>
      </c>
      <c r="P253" s="9">
        <f t="shared" si="1"/>
        <v>0</v>
      </c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 ht="13.2" x14ac:dyDescent="0.25">
      <c r="A254" s="3" t="s">
        <v>202</v>
      </c>
      <c r="B254" s="7">
        <v>44075</v>
      </c>
      <c r="C254" s="3" t="s">
        <v>36</v>
      </c>
      <c r="D254" s="8">
        <v>19.447296224284212</v>
      </c>
      <c r="E254" s="8">
        <v>169.02835219873714</v>
      </c>
      <c r="F254" s="9">
        <v>75577.981661611135</v>
      </c>
      <c r="G254" s="10">
        <v>-1</v>
      </c>
      <c r="H254" s="9">
        <v>100000</v>
      </c>
      <c r="I254" s="10">
        <v>1</v>
      </c>
      <c r="J254" s="9">
        <v>100000</v>
      </c>
      <c r="K254" s="9">
        <v>8859.5854738873968</v>
      </c>
      <c r="L254" s="10">
        <v>6</v>
      </c>
      <c r="M254" s="10">
        <v>0</v>
      </c>
      <c r="N254" s="9">
        <v>0</v>
      </c>
      <c r="O254" s="9">
        <f t="shared" si="0"/>
        <v>2500</v>
      </c>
      <c r="P254" s="9">
        <f t="shared" si="1"/>
        <v>2000</v>
      </c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spans="1:42" ht="13.2" x14ac:dyDescent="0.25">
      <c r="A255" s="3" t="s">
        <v>203</v>
      </c>
      <c r="B255" s="7">
        <v>44075</v>
      </c>
      <c r="C255" s="3" t="s">
        <v>36</v>
      </c>
      <c r="D255" s="8">
        <v>56.562929786067521</v>
      </c>
      <c r="E255" s="8">
        <v>114.77148054544362</v>
      </c>
      <c r="F255" s="9">
        <v>163769.98728265218</v>
      </c>
      <c r="G255" s="10">
        <v>1</v>
      </c>
      <c r="H255" s="9">
        <v>231000</v>
      </c>
      <c r="I255" s="10">
        <v>0</v>
      </c>
      <c r="J255" s="9">
        <v>0</v>
      </c>
      <c r="K255" s="9">
        <v>0</v>
      </c>
      <c r="L255" s="10">
        <v>0</v>
      </c>
      <c r="M255" s="10">
        <v>0</v>
      </c>
      <c r="N255" s="9">
        <v>0</v>
      </c>
      <c r="O255" s="9">
        <f t="shared" si="0"/>
        <v>0</v>
      </c>
      <c r="P255" s="9">
        <f t="shared" si="1"/>
        <v>0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spans="1:42" ht="13.2" x14ac:dyDescent="0.25">
      <c r="A256" s="3" t="s">
        <v>204</v>
      </c>
      <c r="B256" s="7">
        <v>44075</v>
      </c>
      <c r="C256" s="3" t="s">
        <v>36</v>
      </c>
      <c r="D256" s="8">
        <v>8.2249722379700358</v>
      </c>
      <c r="E256" s="8">
        <v>83.468876417595936</v>
      </c>
      <c r="F256" s="9">
        <v>39042.8069783557</v>
      </c>
      <c r="G256" s="10">
        <v>1</v>
      </c>
      <c r="H256" s="9">
        <v>60000</v>
      </c>
      <c r="I256" s="10">
        <v>1</v>
      </c>
      <c r="J256" s="9">
        <v>60000</v>
      </c>
      <c r="K256" s="9">
        <v>6707.2349025734738</v>
      </c>
      <c r="L256" s="10">
        <v>6</v>
      </c>
      <c r="M256" s="10">
        <v>0</v>
      </c>
      <c r="N256" s="9">
        <v>0</v>
      </c>
      <c r="O256" s="9">
        <f t="shared" si="0"/>
        <v>1500</v>
      </c>
      <c r="P256" s="9">
        <f t="shared" si="1"/>
        <v>1200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spans="1:42" ht="13.2" x14ac:dyDescent="0.25">
      <c r="A257" s="3" t="s">
        <v>131</v>
      </c>
      <c r="B257" s="7">
        <v>44075</v>
      </c>
      <c r="C257" s="3" t="s">
        <v>36</v>
      </c>
      <c r="D257" s="8">
        <v>17.876892807184756</v>
      </c>
      <c r="E257" s="8">
        <v>65.532289336727402</v>
      </c>
      <c r="F257" s="9">
        <v>23102.176436981237</v>
      </c>
      <c r="G257" s="10">
        <v>-1</v>
      </c>
      <c r="H257" s="9">
        <v>30000</v>
      </c>
      <c r="I257" s="10">
        <v>1</v>
      </c>
      <c r="J257" s="9">
        <v>30000</v>
      </c>
      <c r="K257" s="9">
        <v>2841.8670680686296</v>
      </c>
      <c r="L257" s="10">
        <v>6</v>
      </c>
      <c r="M257" s="10">
        <v>0</v>
      </c>
      <c r="N257" s="9">
        <v>0</v>
      </c>
      <c r="O257" s="9">
        <f t="shared" ref="O257:O511" si="2">2.5%*J257</f>
        <v>750</v>
      </c>
      <c r="P257" s="9">
        <f t="shared" ref="P257:P511" si="3">2%*J257</f>
        <v>600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 ht="13.2" x14ac:dyDescent="0.25">
      <c r="A258" s="3" t="s">
        <v>170</v>
      </c>
      <c r="B258" s="7">
        <v>44075</v>
      </c>
      <c r="C258" s="3" t="s">
        <v>36</v>
      </c>
      <c r="D258" s="8">
        <v>5.5010031632516858</v>
      </c>
      <c r="E258" s="8">
        <v>306.26259673670893</v>
      </c>
      <c r="F258" s="9">
        <v>30557.224648645435</v>
      </c>
      <c r="G258" s="10">
        <v>-1</v>
      </c>
      <c r="H258" s="9">
        <v>40000</v>
      </c>
      <c r="I258" s="10">
        <v>1</v>
      </c>
      <c r="J258" s="9">
        <v>40000</v>
      </c>
      <c r="K258" s="9">
        <v>3446.7295122347036</v>
      </c>
      <c r="L258" s="10">
        <v>6</v>
      </c>
      <c r="M258" s="10">
        <v>0</v>
      </c>
      <c r="N258" s="9">
        <v>0</v>
      </c>
      <c r="O258" s="9">
        <f t="shared" si="2"/>
        <v>1000</v>
      </c>
      <c r="P258" s="9">
        <f t="shared" si="3"/>
        <v>800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spans="1:42" ht="13.2" x14ac:dyDescent="0.25">
      <c r="A259" s="3" t="s">
        <v>45</v>
      </c>
      <c r="B259" s="7">
        <v>44075</v>
      </c>
      <c r="C259" s="3" t="s">
        <v>36</v>
      </c>
      <c r="D259" s="8">
        <v>45.764557272480971</v>
      </c>
      <c r="E259" s="8">
        <v>320.95989796001049</v>
      </c>
      <c r="F259" s="9">
        <v>15053.271191059102</v>
      </c>
      <c r="G259" s="10">
        <v>-1</v>
      </c>
      <c r="H259" s="9">
        <v>10000</v>
      </c>
      <c r="I259" s="10">
        <v>0</v>
      </c>
      <c r="J259" s="9">
        <v>0</v>
      </c>
      <c r="K259" s="9">
        <v>0</v>
      </c>
      <c r="L259" s="10">
        <v>0</v>
      </c>
      <c r="M259" s="10">
        <v>0</v>
      </c>
      <c r="N259" s="9">
        <v>0</v>
      </c>
      <c r="O259" s="9">
        <f t="shared" si="2"/>
        <v>0</v>
      </c>
      <c r="P259" s="9">
        <f t="shared" si="3"/>
        <v>0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spans="1:42" ht="13.2" x14ac:dyDescent="0.25">
      <c r="A260" s="3" t="s">
        <v>205</v>
      </c>
      <c r="B260" s="7">
        <v>44075</v>
      </c>
      <c r="C260" s="3" t="s">
        <v>39</v>
      </c>
      <c r="D260" s="8">
        <v>55.327685873289504</v>
      </c>
      <c r="E260" s="8">
        <v>273.83274527641203</v>
      </c>
      <c r="F260" s="9">
        <v>24122.653072613044</v>
      </c>
      <c r="G260" s="10">
        <v>1</v>
      </c>
      <c r="H260" s="9">
        <v>20000</v>
      </c>
      <c r="I260" s="10">
        <v>1</v>
      </c>
      <c r="J260" s="9">
        <v>20000</v>
      </c>
      <c r="K260" s="9">
        <v>1603.8996954357685</v>
      </c>
      <c r="L260" s="10">
        <v>6</v>
      </c>
      <c r="M260" s="10">
        <v>0</v>
      </c>
      <c r="N260" s="9">
        <v>0</v>
      </c>
      <c r="O260" s="9">
        <f t="shared" si="2"/>
        <v>500</v>
      </c>
      <c r="P260" s="9">
        <f t="shared" si="3"/>
        <v>400</v>
      </c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spans="1:42" ht="13.2" x14ac:dyDescent="0.25">
      <c r="A261" s="3" t="s">
        <v>96</v>
      </c>
      <c r="B261" s="7">
        <v>44075</v>
      </c>
      <c r="C261" s="3" t="s">
        <v>36</v>
      </c>
      <c r="D261" s="8">
        <v>150.809397297853</v>
      </c>
      <c r="E261" s="8">
        <v>223.3863202142519</v>
      </c>
      <c r="F261" s="9">
        <v>134240.04408322679</v>
      </c>
      <c r="G261" s="10">
        <v>-1</v>
      </c>
      <c r="H261" s="9">
        <v>90000</v>
      </c>
      <c r="I261" s="10">
        <v>1</v>
      </c>
      <c r="J261" s="9">
        <v>90000</v>
      </c>
      <c r="K261" s="9">
        <v>6365.9441555807452</v>
      </c>
      <c r="L261" s="10">
        <v>6</v>
      </c>
      <c r="M261" s="10">
        <v>0</v>
      </c>
      <c r="N261" s="9">
        <v>0</v>
      </c>
      <c r="O261" s="9">
        <f t="shared" si="2"/>
        <v>2250</v>
      </c>
      <c r="P261" s="9">
        <f t="shared" si="3"/>
        <v>1800</v>
      </c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 ht="13.2" x14ac:dyDescent="0.25">
      <c r="A262" s="3" t="s">
        <v>159</v>
      </c>
      <c r="B262" s="7">
        <v>44075</v>
      </c>
      <c r="C262" s="3" t="s">
        <v>36</v>
      </c>
      <c r="D262" s="8">
        <v>3</v>
      </c>
      <c r="E262" s="8">
        <v>217.89102166504179</v>
      </c>
      <c r="F262" s="9">
        <v>34861.085402514327</v>
      </c>
      <c r="G262" s="10">
        <v>-1</v>
      </c>
      <c r="H262" s="9">
        <v>50000</v>
      </c>
      <c r="I262" s="10">
        <v>1</v>
      </c>
      <c r="J262" s="9">
        <v>50000</v>
      </c>
      <c r="K262" s="9">
        <v>4367.5433467240327</v>
      </c>
      <c r="L262" s="10">
        <v>6</v>
      </c>
      <c r="M262" s="10">
        <v>0</v>
      </c>
      <c r="N262" s="9">
        <v>0</v>
      </c>
      <c r="O262" s="9">
        <f t="shared" si="2"/>
        <v>1250</v>
      </c>
      <c r="P262" s="9">
        <f t="shared" si="3"/>
        <v>1000</v>
      </c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spans="1:42" ht="13.2" x14ac:dyDescent="0.25">
      <c r="A263" s="3" t="s">
        <v>144</v>
      </c>
      <c r="B263" s="7">
        <v>44075</v>
      </c>
      <c r="C263" s="3" t="s">
        <v>36</v>
      </c>
      <c r="D263" s="8">
        <v>5.7638302826869019</v>
      </c>
      <c r="E263" s="8">
        <v>211.51160528544494</v>
      </c>
      <c r="F263" s="9">
        <v>104786.30374135086</v>
      </c>
      <c r="G263" s="10">
        <v>0</v>
      </c>
      <c r="H263" s="9">
        <v>170000</v>
      </c>
      <c r="I263" s="10">
        <v>0</v>
      </c>
      <c r="J263" s="9">
        <v>0</v>
      </c>
      <c r="K263" s="9">
        <v>0</v>
      </c>
      <c r="L263" s="10">
        <v>0</v>
      </c>
      <c r="M263" s="10">
        <v>0</v>
      </c>
      <c r="N263" s="9">
        <v>0</v>
      </c>
      <c r="O263" s="9">
        <f t="shared" si="2"/>
        <v>0</v>
      </c>
      <c r="P263" s="9">
        <f t="shared" si="3"/>
        <v>0</v>
      </c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spans="1:42" ht="13.2" x14ac:dyDescent="0.25">
      <c r="A264" s="3" t="s">
        <v>206</v>
      </c>
      <c r="B264" s="7">
        <v>44075</v>
      </c>
      <c r="C264" s="3" t="s">
        <v>36</v>
      </c>
      <c r="D264" s="8">
        <v>34.380291458354947</v>
      </c>
      <c r="E264" s="8">
        <v>214.11047100185709</v>
      </c>
      <c r="F264" s="9">
        <v>35636.525642251159</v>
      </c>
      <c r="G264" s="10">
        <v>1</v>
      </c>
      <c r="H264" s="9">
        <v>30000</v>
      </c>
      <c r="I264" s="10">
        <v>1</v>
      </c>
      <c r="J264" s="9">
        <v>30000</v>
      </c>
      <c r="K264" s="9">
        <v>514.3778836764485</v>
      </c>
      <c r="L264" s="10">
        <v>6</v>
      </c>
      <c r="M264" s="10">
        <v>0</v>
      </c>
      <c r="N264" s="9">
        <v>0</v>
      </c>
      <c r="O264" s="9">
        <f t="shared" si="2"/>
        <v>750</v>
      </c>
      <c r="P264" s="9">
        <f t="shared" si="3"/>
        <v>600</v>
      </c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spans="1:42" ht="13.2" x14ac:dyDescent="0.25">
      <c r="A265" s="3" t="s">
        <v>207</v>
      </c>
      <c r="B265" s="7">
        <v>44075</v>
      </c>
      <c r="C265" s="3" t="s">
        <v>36</v>
      </c>
      <c r="D265" s="8">
        <v>71.231877071201836</v>
      </c>
      <c r="E265" s="8">
        <v>60</v>
      </c>
      <c r="F265" s="9">
        <v>40021.918915970207</v>
      </c>
      <c r="G265" s="10">
        <v>1</v>
      </c>
      <c r="H265" s="9">
        <v>30000</v>
      </c>
      <c r="I265" s="10">
        <v>1</v>
      </c>
      <c r="J265" s="9">
        <v>30000</v>
      </c>
      <c r="K265" s="9">
        <v>306.46379318572593</v>
      </c>
      <c r="L265" s="10">
        <v>6</v>
      </c>
      <c r="M265" s="10">
        <v>0</v>
      </c>
      <c r="N265" s="9">
        <v>0</v>
      </c>
      <c r="O265" s="9">
        <f t="shared" si="2"/>
        <v>750</v>
      </c>
      <c r="P265" s="9">
        <f t="shared" si="3"/>
        <v>600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 ht="13.2" x14ac:dyDescent="0.25">
      <c r="A266" s="3" t="s">
        <v>208</v>
      </c>
      <c r="B266" s="7">
        <v>44075</v>
      </c>
      <c r="C266" s="3" t="s">
        <v>36</v>
      </c>
      <c r="D266" s="8">
        <v>3</v>
      </c>
      <c r="E266" s="8">
        <v>235.71389577302423</v>
      </c>
      <c r="F266" s="9">
        <v>14832.46691270729</v>
      </c>
      <c r="G266" s="10">
        <v>-1</v>
      </c>
      <c r="H266" s="9">
        <v>10000</v>
      </c>
      <c r="I266" s="10">
        <v>0</v>
      </c>
      <c r="J266" s="9">
        <v>0</v>
      </c>
      <c r="K266" s="9">
        <v>0</v>
      </c>
      <c r="L266" s="10">
        <v>0</v>
      </c>
      <c r="M266" s="10">
        <v>0</v>
      </c>
      <c r="N266" s="9">
        <v>0</v>
      </c>
      <c r="O266" s="9">
        <f t="shared" si="2"/>
        <v>0</v>
      </c>
      <c r="P266" s="9">
        <f t="shared" si="3"/>
        <v>0</v>
      </c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spans="1:42" ht="13.2" x14ac:dyDescent="0.25">
      <c r="A267" s="3" t="s">
        <v>209</v>
      </c>
      <c r="B267" s="7">
        <v>44075</v>
      </c>
      <c r="C267" s="3" t="s">
        <v>36</v>
      </c>
      <c r="D267" s="8">
        <v>36.52917106388643</v>
      </c>
      <c r="E267" s="8">
        <v>130.38549881206612</v>
      </c>
      <c r="F267" s="9">
        <v>253641.01260911592</v>
      </c>
      <c r="G267" s="10">
        <v>0</v>
      </c>
      <c r="H267" s="9">
        <v>370000</v>
      </c>
      <c r="I267" s="10">
        <v>1</v>
      </c>
      <c r="J267" s="9">
        <v>370000</v>
      </c>
      <c r="K267" s="9">
        <v>36069.801598089318</v>
      </c>
      <c r="L267" s="10">
        <v>6</v>
      </c>
      <c r="M267" s="10">
        <v>0</v>
      </c>
      <c r="N267" s="9">
        <v>0</v>
      </c>
      <c r="O267" s="9">
        <f t="shared" si="2"/>
        <v>9250</v>
      </c>
      <c r="P267" s="9">
        <f t="shared" si="3"/>
        <v>7400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spans="1:42" ht="13.2" x14ac:dyDescent="0.25">
      <c r="A268" s="3" t="s">
        <v>210</v>
      </c>
      <c r="B268" s="7">
        <v>44075</v>
      </c>
      <c r="C268" s="3" t="s">
        <v>36</v>
      </c>
      <c r="D268" s="8">
        <v>42.139765709631675</v>
      </c>
      <c r="E268" s="8">
        <v>60</v>
      </c>
      <c r="F268" s="9">
        <v>151482.80815212315</v>
      </c>
      <c r="G268" s="10">
        <v>1</v>
      </c>
      <c r="H268" s="9">
        <v>200000</v>
      </c>
      <c r="I268" s="10">
        <v>1</v>
      </c>
      <c r="J268" s="9">
        <v>200000</v>
      </c>
      <c r="K268" s="9">
        <v>14805.69301372956</v>
      </c>
      <c r="L268" s="10">
        <v>6</v>
      </c>
      <c r="M268" s="10">
        <v>0</v>
      </c>
      <c r="N268" s="9">
        <v>0</v>
      </c>
      <c r="O268" s="9">
        <f t="shared" si="2"/>
        <v>5000</v>
      </c>
      <c r="P268" s="9">
        <f t="shared" si="3"/>
        <v>4000</v>
      </c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spans="1:42" ht="13.2" x14ac:dyDescent="0.25">
      <c r="A269" s="3" t="s">
        <v>211</v>
      </c>
      <c r="B269" s="7">
        <v>44075</v>
      </c>
      <c r="C269" s="3" t="s">
        <v>36</v>
      </c>
      <c r="D269" s="8">
        <v>33.207840197246206</v>
      </c>
      <c r="E269" s="8">
        <v>156.07662697079655</v>
      </c>
      <c r="F269" s="9">
        <v>460776.5586487269</v>
      </c>
      <c r="G269" s="10">
        <v>-1</v>
      </c>
      <c r="H269" s="9">
        <v>410000</v>
      </c>
      <c r="I269" s="10">
        <v>0</v>
      </c>
      <c r="J269" s="9">
        <v>0</v>
      </c>
      <c r="K269" s="9">
        <v>0</v>
      </c>
      <c r="L269" s="10">
        <v>0</v>
      </c>
      <c r="M269" s="10">
        <v>0</v>
      </c>
      <c r="N269" s="9">
        <v>0</v>
      </c>
      <c r="O269" s="9">
        <f t="shared" si="2"/>
        <v>0</v>
      </c>
      <c r="P269" s="9">
        <f t="shared" si="3"/>
        <v>0</v>
      </c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 ht="13.2" x14ac:dyDescent="0.25">
      <c r="A270" s="3" t="s">
        <v>212</v>
      </c>
      <c r="B270" s="7">
        <v>44075</v>
      </c>
      <c r="C270" s="3" t="s">
        <v>36</v>
      </c>
      <c r="D270" s="8">
        <v>26.37337440885101</v>
      </c>
      <c r="E270" s="8">
        <v>232.20157666746559</v>
      </c>
      <c r="F270" s="9">
        <v>33360.26276065925</v>
      </c>
      <c r="G270" s="10">
        <v>1</v>
      </c>
      <c r="H270" s="9">
        <v>40000</v>
      </c>
      <c r="I270" s="10">
        <v>1</v>
      </c>
      <c r="J270" s="9">
        <v>40000</v>
      </c>
      <c r="K270" s="9">
        <v>1667.2115515070811</v>
      </c>
      <c r="L270" s="10">
        <v>6</v>
      </c>
      <c r="M270" s="10">
        <v>0</v>
      </c>
      <c r="N270" s="9">
        <v>0</v>
      </c>
      <c r="O270" s="9">
        <f t="shared" si="2"/>
        <v>1000</v>
      </c>
      <c r="P270" s="9">
        <f t="shared" si="3"/>
        <v>800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spans="1:42" ht="13.2" x14ac:dyDescent="0.25">
      <c r="A271" s="3" t="s">
        <v>213</v>
      </c>
      <c r="B271" s="7">
        <v>44075</v>
      </c>
      <c r="C271" s="3" t="s">
        <v>36</v>
      </c>
      <c r="D271" s="8">
        <v>46.317905799420558</v>
      </c>
      <c r="E271" s="8">
        <v>148.37015694658385</v>
      </c>
      <c r="F271" s="9">
        <v>1112893.3589145625</v>
      </c>
      <c r="G271" s="10">
        <v>0</v>
      </c>
      <c r="H271" s="9">
        <v>720000</v>
      </c>
      <c r="I271" s="10">
        <v>1</v>
      </c>
      <c r="J271" s="9">
        <v>720000</v>
      </c>
      <c r="K271" s="9">
        <v>37552.856257712556</v>
      </c>
      <c r="L271" s="10">
        <v>6</v>
      </c>
      <c r="M271" s="10">
        <v>0</v>
      </c>
      <c r="N271" s="9">
        <v>0</v>
      </c>
      <c r="O271" s="9">
        <f t="shared" si="2"/>
        <v>18000</v>
      </c>
      <c r="P271" s="9">
        <f t="shared" si="3"/>
        <v>14400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spans="1:42" ht="13.2" x14ac:dyDescent="0.25">
      <c r="A272" s="3" t="s">
        <v>214</v>
      </c>
      <c r="B272" s="7">
        <v>44075</v>
      </c>
      <c r="C272" s="3" t="s">
        <v>36</v>
      </c>
      <c r="D272" s="8">
        <v>12.627593213615192</v>
      </c>
      <c r="E272" s="8">
        <v>79.417434639252349</v>
      </c>
      <c r="F272" s="9">
        <v>21650.758230744574</v>
      </c>
      <c r="G272" s="10">
        <v>-1</v>
      </c>
      <c r="H272" s="9">
        <v>30000</v>
      </c>
      <c r="I272" s="10">
        <v>0</v>
      </c>
      <c r="J272" s="9">
        <v>0</v>
      </c>
      <c r="K272" s="9">
        <v>0</v>
      </c>
      <c r="L272" s="10">
        <v>0</v>
      </c>
      <c r="M272" s="10">
        <v>0</v>
      </c>
      <c r="N272" s="9">
        <v>0</v>
      </c>
      <c r="O272" s="9">
        <f t="shared" si="2"/>
        <v>0</v>
      </c>
      <c r="P272" s="9">
        <f t="shared" si="3"/>
        <v>0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spans="1:42" ht="13.2" x14ac:dyDescent="0.25">
      <c r="A273" s="3" t="s">
        <v>157</v>
      </c>
      <c r="B273" s="7">
        <v>44075</v>
      </c>
      <c r="C273" s="3" t="s">
        <v>36</v>
      </c>
      <c r="D273" s="8">
        <v>11.901656974000698</v>
      </c>
      <c r="E273" s="8">
        <v>344.6360414290358</v>
      </c>
      <c r="F273" s="9">
        <v>84011.493103880377</v>
      </c>
      <c r="G273" s="10">
        <v>0</v>
      </c>
      <c r="H273" s="9">
        <v>100000</v>
      </c>
      <c r="I273" s="10">
        <v>0</v>
      </c>
      <c r="J273" s="9">
        <v>0</v>
      </c>
      <c r="K273" s="9">
        <v>0</v>
      </c>
      <c r="L273" s="10">
        <v>0</v>
      </c>
      <c r="M273" s="10">
        <v>0</v>
      </c>
      <c r="N273" s="9">
        <v>0</v>
      </c>
      <c r="O273" s="9">
        <f t="shared" si="2"/>
        <v>0</v>
      </c>
      <c r="P273" s="9">
        <f t="shared" si="3"/>
        <v>0</v>
      </c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 ht="13.2" x14ac:dyDescent="0.25">
      <c r="A274" s="3" t="s">
        <v>215</v>
      </c>
      <c r="B274" s="7">
        <v>44075</v>
      </c>
      <c r="C274" s="3" t="s">
        <v>36</v>
      </c>
      <c r="D274" s="8">
        <v>23.613031245172941</v>
      </c>
      <c r="E274" s="8">
        <v>278.82485600566707</v>
      </c>
      <c r="F274" s="9">
        <v>1333.0849373818139</v>
      </c>
      <c r="G274" s="10">
        <v>1</v>
      </c>
      <c r="H274" s="9">
        <v>882.35294117647049</v>
      </c>
      <c r="I274" s="10">
        <v>1</v>
      </c>
      <c r="J274" s="9">
        <v>882.35294117647049</v>
      </c>
      <c r="K274" s="9">
        <v>76.536009722934566</v>
      </c>
      <c r="L274" s="10">
        <v>6</v>
      </c>
      <c r="M274" s="10">
        <v>0</v>
      </c>
      <c r="N274" s="9">
        <v>0</v>
      </c>
      <c r="O274" s="9">
        <f t="shared" si="2"/>
        <v>22.058823529411764</v>
      </c>
      <c r="P274" s="9">
        <f t="shared" si="3"/>
        <v>17.647058823529409</v>
      </c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spans="1:42" ht="13.2" x14ac:dyDescent="0.25">
      <c r="A275" s="3" t="s">
        <v>124</v>
      </c>
      <c r="B275" s="7">
        <v>44075</v>
      </c>
      <c r="C275" s="3" t="s">
        <v>36</v>
      </c>
      <c r="D275" s="8">
        <v>44.89769922245307</v>
      </c>
      <c r="E275" s="8">
        <v>175.52047468290019</v>
      </c>
      <c r="F275" s="9">
        <v>1482536.0184041883</v>
      </c>
      <c r="G275" s="10">
        <v>1</v>
      </c>
      <c r="H275" s="9">
        <v>980000</v>
      </c>
      <c r="I275" s="10">
        <v>1</v>
      </c>
      <c r="J275" s="9">
        <v>980000</v>
      </c>
      <c r="K275" s="9">
        <v>101594.413923046</v>
      </c>
      <c r="L275" s="10">
        <v>6</v>
      </c>
      <c r="M275" s="10">
        <v>0</v>
      </c>
      <c r="N275" s="9">
        <v>0</v>
      </c>
      <c r="O275" s="9">
        <f t="shared" si="2"/>
        <v>24500</v>
      </c>
      <c r="P275" s="9">
        <f t="shared" si="3"/>
        <v>19600</v>
      </c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spans="1:42" ht="13.2" x14ac:dyDescent="0.25">
      <c r="A276" s="3" t="s">
        <v>216</v>
      </c>
      <c r="B276" s="7">
        <v>44075</v>
      </c>
      <c r="C276" s="3" t="s">
        <v>39</v>
      </c>
      <c r="D276" s="8">
        <v>95.393413189615586</v>
      </c>
      <c r="E276" s="8">
        <v>113.85369766788271</v>
      </c>
      <c r="F276" s="9">
        <v>421649.65073028003</v>
      </c>
      <c r="G276" s="10">
        <v>-1</v>
      </c>
      <c r="H276" s="9">
        <v>270000</v>
      </c>
      <c r="I276" s="10">
        <v>1</v>
      </c>
      <c r="J276" s="9">
        <v>270000</v>
      </c>
      <c r="K276" s="9">
        <v>16405.147628300921</v>
      </c>
      <c r="L276" s="10">
        <v>6</v>
      </c>
      <c r="M276" s="10">
        <v>0</v>
      </c>
      <c r="N276" s="9">
        <v>0</v>
      </c>
      <c r="O276" s="9">
        <f t="shared" si="2"/>
        <v>6750</v>
      </c>
      <c r="P276" s="9">
        <f t="shared" si="3"/>
        <v>5400</v>
      </c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spans="1:42" ht="13.2" x14ac:dyDescent="0.25">
      <c r="A277" s="3" t="s">
        <v>164</v>
      </c>
      <c r="B277" s="7">
        <v>44075</v>
      </c>
      <c r="C277" s="3" t="s">
        <v>36</v>
      </c>
      <c r="D277" s="8">
        <v>43.790060345388014</v>
      </c>
      <c r="E277" s="8">
        <v>249.76070930010371</v>
      </c>
      <c r="F277" s="9">
        <v>31659.713439071758</v>
      </c>
      <c r="G277" s="10">
        <v>-1</v>
      </c>
      <c r="H277" s="9">
        <v>30000</v>
      </c>
      <c r="I277" s="10">
        <v>0</v>
      </c>
      <c r="J277" s="9">
        <v>0</v>
      </c>
      <c r="K277" s="9">
        <v>0</v>
      </c>
      <c r="L277" s="10">
        <v>0</v>
      </c>
      <c r="M277" s="10">
        <v>0</v>
      </c>
      <c r="N277" s="9">
        <v>0</v>
      </c>
      <c r="O277" s="9">
        <f t="shared" si="2"/>
        <v>0</v>
      </c>
      <c r="P277" s="9">
        <f t="shared" si="3"/>
        <v>0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 ht="13.2" x14ac:dyDescent="0.25">
      <c r="A278" s="3" t="s">
        <v>217</v>
      </c>
      <c r="B278" s="7">
        <v>44105</v>
      </c>
      <c r="C278" s="3" t="s">
        <v>39</v>
      </c>
      <c r="D278" s="8">
        <v>56.100972029639152</v>
      </c>
      <c r="E278" s="8">
        <v>173.55418475529524</v>
      </c>
      <c r="F278" s="9">
        <v>157008.79531484187</v>
      </c>
      <c r="G278" s="10">
        <v>0</v>
      </c>
      <c r="H278" s="9">
        <v>230000</v>
      </c>
      <c r="I278" s="10">
        <v>1</v>
      </c>
      <c r="J278" s="9">
        <v>230000</v>
      </c>
      <c r="K278" s="9">
        <v>16274.70634519737</v>
      </c>
      <c r="L278" s="10">
        <v>6</v>
      </c>
      <c r="M278" s="10">
        <v>0</v>
      </c>
      <c r="N278" s="9">
        <v>0</v>
      </c>
      <c r="O278" s="9">
        <f t="shared" si="2"/>
        <v>5750</v>
      </c>
      <c r="P278" s="9">
        <f t="shared" si="3"/>
        <v>4600</v>
      </c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spans="1:42" ht="13.2" x14ac:dyDescent="0.25">
      <c r="A279" s="3" t="s">
        <v>218</v>
      </c>
      <c r="B279" s="7">
        <v>44105</v>
      </c>
      <c r="C279" s="3" t="s">
        <v>36</v>
      </c>
      <c r="D279" s="8">
        <v>3</v>
      </c>
      <c r="E279" s="8">
        <v>94.79673983294397</v>
      </c>
      <c r="F279" s="9">
        <v>13450.589429230919</v>
      </c>
      <c r="G279" s="10">
        <v>-1</v>
      </c>
      <c r="H279" s="9">
        <v>20000</v>
      </c>
      <c r="I279" s="10">
        <v>0</v>
      </c>
      <c r="J279" s="9">
        <v>0</v>
      </c>
      <c r="K279" s="9">
        <v>0</v>
      </c>
      <c r="L279" s="10">
        <v>0</v>
      </c>
      <c r="M279" s="10">
        <v>0</v>
      </c>
      <c r="N279" s="9">
        <v>0</v>
      </c>
      <c r="O279" s="9">
        <f t="shared" si="2"/>
        <v>0</v>
      </c>
      <c r="P279" s="9">
        <f t="shared" si="3"/>
        <v>0</v>
      </c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spans="1:42" ht="13.2" x14ac:dyDescent="0.25">
      <c r="A280" s="3" t="s">
        <v>219</v>
      </c>
      <c r="B280" s="7">
        <v>44105</v>
      </c>
      <c r="C280" s="3" t="s">
        <v>63</v>
      </c>
      <c r="D280" s="8">
        <v>44.051287578834931</v>
      </c>
      <c r="E280" s="8">
        <v>149.30448533073684</v>
      </c>
      <c r="F280" s="9">
        <v>15120.161217302571</v>
      </c>
      <c r="G280" s="10">
        <v>-1</v>
      </c>
      <c r="H280" s="9">
        <v>20000</v>
      </c>
      <c r="I280" s="10">
        <v>1</v>
      </c>
      <c r="J280" s="9">
        <v>20000</v>
      </c>
      <c r="K280" s="9">
        <v>2005.3353673316401</v>
      </c>
      <c r="L280" s="10">
        <v>8</v>
      </c>
      <c r="M280" s="10">
        <v>1</v>
      </c>
      <c r="N280" s="9">
        <v>10452.572027559219</v>
      </c>
      <c r="O280" s="9">
        <f t="shared" si="2"/>
        <v>500</v>
      </c>
      <c r="P280" s="9">
        <f t="shared" si="3"/>
        <v>400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spans="1:42" ht="13.2" x14ac:dyDescent="0.25">
      <c r="A281" s="3" t="s">
        <v>118</v>
      </c>
      <c r="B281" s="7">
        <v>44105</v>
      </c>
      <c r="C281" s="3" t="s">
        <v>36</v>
      </c>
      <c r="D281" s="8">
        <v>82.479709685504474</v>
      </c>
      <c r="E281" s="8">
        <v>172.54153038412983</v>
      </c>
      <c r="F281" s="9">
        <v>127333.89971428497</v>
      </c>
      <c r="G281" s="10">
        <v>0</v>
      </c>
      <c r="H281" s="9">
        <v>190000</v>
      </c>
      <c r="I281" s="10">
        <v>0</v>
      </c>
      <c r="J281" s="9">
        <v>0</v>
      </c>
      <c r="K281" s="9">
        <v>0</v>
      </c>
      <c r="L281" s="10">
        <v>0</v>
      </c>
      <c r="M281" s="10">
        <v>0</v>
      </c>
      <c r="N281" s="9">
        <v>0</v>
      </c>
      <c r="O281" s="9">
        <f t="shared" si="2"/>
        <v>0</v>
      </c>
      <c r="P281" s="9">
        <f t="shared" si="3"/>
        <v>0</v>
      </c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 ht="13.2" x14ac:dyDescent="0.25">
      <c r="A282" s="3" t="s">
        <v>152</v>
      </c>
      <c r="B282" s="7">
        <v>44105</v>
      </c>
      <c r="C282" s="3" t="s">
        <v>36</v>
      </c>
      <c r="D282" s="8">
        <v>12.082209143815298</v>
      </c>
      <c r="E282" s="8">
        <v>260.01479185727936</v>
      </c>
      <c r="F282" s="9">
        <v>191029.21236409558</v>
      </c>
      <c r="G282" s="10">
        <v>0</v>
      </c>
      <c r="H282" s="9">
        <v>150000</v>
      </c>
      <c r="I282" s="10">
        <v>0</v>
      </c>
      <c r="J282" s="9">
        <v>0</v>
      </c>
      <c r="K282" s="9">
        <v>0</v>
      </c>
      <c r="L282" s="10">
        <v>0</v>
      </c>
      <c r="M282" s="10">
        <v>0</v>
      </c>
      <c r="N282" s="9">
        <v>0</v>
      </c>
      <c r="O282" s="9">
        <f t="shared" si="2"/>
        <v>0</v>
      </c>
      <c r="P282" s="9">
        <f t="shared" si="3"/>
        <v>0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spans="1:42" ht="13.2" x14ac:dyDescent="0.25">
      <c r="A283" s="3" t="s">
        <v>103</v>
      </c>
      <c r="B283" s="7">
        <v>44105</v>
      </c>
      <c r="C283" s="3" t="s">
        <v>36</v>
      </c>
      <c r="D283" s="8">
        <v>7.889012955219437</v>
      </c>
      <c r="E283" s="8">
        <v>107.10127943719708</v>
      </c>
      <c r="F283" s="9">
        <v>87915.057937336416</v>
      </c>
      <c r="G283" s="10">
        <v>0</v>
      </c>
      <c r="H283" s="9">
        <v>130000</v>
      </c>
      <c r="I283" s="10">
        <v>0</v>
      </c>
      <c r="J283" s="9">
        <v>0</v>
      </c>
      <c r="K283" s="9">
        <v>0</v>
      </c>
      <c r="L283" s="10">
        <v>0</v>
      </c>
      <c r="M283" s="10">
        <v>0</v>
      </c>
      <c r="N283" s="9">
        <v>0</v>
      </c>
      <c r="O283" s="9">
        <f t="shared" si="2"/>
        <v>0</v>
      </c>
      <c r="P283" s="9">
        <f t="shared" si="3"/>
        <v>0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spans="1:42" ht="13.2" x14ac:dyDescent="0.25">
      <c r="A284" s="3" t="s">
        <v>177</v>
      </c>
      <c r="B284" s="7">
        <v>44105</v>
      </c>
      <c r="C284" s="3" t="s">
        <v>36</v>
      </c>
      <c r="D284" s="8">
        <v>130.94628936419315</v>
      </c>
      <c r="E284" s="8">
        <v>89.110547953416955</v>
      </c>
      <c r="F284" s="9">
        <v>21202.931100215323</v>
      </c>
      <c r="G284" s="10">
        <v>0</v>
      </c>
      <c r="H284" s="9">
        <v>20000</v>
      </c>
      <c r="I284" s="10">
        <v>1</v>
      </c>
      <c r="J284" s="9">
        <v>20000</v>
      </c>
      <c r="K284" s="9">
        <v>1823.8929838403294</v>
      </c>
      <c r="L284" s="10">
        <v>6</v>
      </c>
      <c r="M284" s="10">
        <v>0</v>
      </c>
      <c r="N284" s="9">
        <v>0</v>
      </c>
      <c r="O284" s="9">
        <f t="shared" si="2"/>
        <v>500</v>
      </c>
      <c r="P284" s="9">
        <f t="shared" si="3"/>
        <v>400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spans="1:42" ht="13.2" x14ac:dyDescent="0.25">
      <c r="A285" s="3" t="s">
        <v>220</v>
      </c>
      <c r="B285" s="7">
        <v>44105</v>
      </c>
      <c r="C285" s="3" t="s">
        <v>39</v>
      </c>
      <c r="D285" s="8">
        <v>22.260546787558464</v>
      </c>
      <c r="E285" s="8">
        <v>293.4595770372498</v>
      </c>
      <c r="F285" s="9">
        <v>125320.43029162718</v>
      </c>
      <c r="G285" s="10">
        <v>0</v>
      </c>
      <c r="H285" s="9">
        <v>80000</v>
      </c>
      <c r="I285" s="10">
        <v>1</v>
      </c>
      <c r="J285" s="9">
        <v>80000</v>
      </c>
      <c r="K285" s="9">
        <v>7082.8556073804202</v>
      </c>
      <c r="L285" s="10">
        <v>6</v>
      </c>
      <c r="M285" s="10">
        <v>0</v>
      </c>
      <c r="N285" s="9">
        <v>0</v>
      </c>
      <c r="O285" s="9">
        <f t="shared" si="2"/>
        <v>2000</v>
      </c>
      <c r="P285" s="9">
        <f t="shared" si="3"/>
        <v>1600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 ht="13.2" x14ac:dyDescent="0.25">
      <c r="A286" s="3" t="s">
        <v>183</v>
      </c>
      <c r="B286" s="7">
        <v>44105</v>
      </c>
      <c r="C286" s="3" t="s">
        <v>36</v>
      </c>
      <c r="D286" s="8">
        <v>29.636532908083304</v>
      </c>
      <c r="E286" s="8">
        <v>169.22259183987276</v>
      </c>
      <c r="F286" s="9">
        <v>703.86877677960229</v>
      </c>
      <c r="G286" s="10">
        <v>0</v>
      </c>
      <c r="H286" s="9">
        <v>1000</v>
      </c>
      <c r="I286" s="10">
        <v>0</v>
      </c>
      <c r="J286" s="9">
        <v>0</v>
      </c>
      <c r="K286" s="9">
        <v>0</v>
      </c>
      <c r="L286" s="10">
        <v>0</v>
      </c>
      <c r="M286" s="10">
        <v>0</v>
      </c>
      <c r="N286" s="9">
        <v>0</v>
      </c>
      <c r="O286" s="9">
        <f t="shared" si="2"/>
        <v>0</v>
      </c>
      <c r="P286" s="9">
        <f t="shared" si="3"/>
        <v>0</v>
      </c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spans="1:42" ht="13.2" x14ac:dyDescent="0.25">
      <c r="A287" s="3" t="s">
        <v>198</v>
      </c>
      <c r="B287" s="7">
        <v>44105</v>
      </c>
      <c r="C287" s="3" t="s">
        <v>36</v>
      </c>
      <c r="D287" s="8">
        <v>3</v>
      </c>
      <c r="E287" s="8">
        <v>275.31707370247227</v>
      </c>
      <c r="F287" s="9">
        <v>71377.777833222804</v>
      </c>
      <c r="G287" s="10">
        <v>1</v>
      </c>
      <c r="H287" s="9">
        <v>60000</v>
      </c>
      <c r="I287" s="10">
        <v>1</v>
      </c>
      <c r="J287" s="9">
        <v>60000</v>
      </c>
      <c r="K287" s="9">
        <v>2624.7182311683359</v>
      </c>
      <c r="L287" s="10">
        <v>6</v>
      </c>
      <c r="M287" s="10">
        <v>0</v>
      </c>
      <c r="N287" s="9">
        <v>0</v>
      </c>
      <c r="O287" s="9">
        <f t="shared" si="2"/>
        <v>1500</v>
      </c>
      <c r="P287" s="9">
        <f t="shared" si="3"/>
        <v>1200</v>
      </c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spans="1:42" ht="13.2" x14ac:dyDescent="0.25">
      <c r="A288" s="3" t="s">
        <v>221</v>
      </c>
      <c r="B288" s="7">
        <v>44105</v>
      </c>
      <c r="C288" s="3" t="s">
        <v>36</v>
      </c>
      <c r="D288" s="8">
        <v>46.364134703218227</v>
      </c>
      <c r="E288" s="8">
        <v>184.90048231077185</v>
      </c>
      <c r="F288" s="9">
        <v>14854.584943119977</v>
      </c>
      <c r="G288" s="10">
        <v>-1</v>
      </c>
      <c r="H288" s="9">
        <v>10000</v>
      </c>
      <c r="I288" s="10">
        <v>1</v>
      </c>
      <c r="J288" s="9">
        <v>10000</v>
      </c>
      <c r="K288" s="9">
        <v>373.79427313886868</v>
      </c>
      <c r="L288" s="10">
        <v>6</v>
      </c>
      <c r="M288" s="10">
        <v>0</v>
      </c>
      <c r="N288" s="9">
        <v>0</v>
      </c>
      <c r="O288" s="9">
        <f t="shared" si="2"/>
        <v>250</v>
      </c>
      <c r="P288" s="9">
        <f t="shared" si="3"/>
        <v>200</v>
      </c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spans="1:42" ht="13.2" x14ac:dyDescent="0.25">
      <c r="A289" s="3" t="s">
        <v>222</v>
      </c>
      <c r="B289" s="7">
        <v>44105</v>
      </c>
      <c r="C289" s="3" t="s">
        <v>39</v>
      </c>
      <c r="D289" s="8">
        <v>8.8327653920959062</v>
      </c>
      <c r="E289" s="8">
        <v>60</v>
      </c>
      <c r="F289" s="9">
        <v>182195.08567820617</v>
      </c>
      <c r="G289" s="10">
        <v>0</v>
      </c>
      <c r="H289" s="9">
        <v>280000</v>
      </c>
      <c r="I289" s="10">
        <v>1</v>
      </c>
      <c r="J289" s="9">
        <v>280000</v>
      </c>
      <c r="K289" s="9">
        <v>20393.861224169937</v>
      </c>
      <c r="L289" s="10">
        <v>6</v>
      </c>
      <c r="M289" s="10">
        <v>1</v>
      </c>
      <c r="N289" s="9">
        <v>98000</v>
      </c>
      <c r="O289" s="9">
        <f t="shared" si="2"/>
        <v>7000</v>
      </c>
      <c r="P289" s="9">
        <f t="shared" si="3"/>
        <v>5600</v>
      </c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42" ht="13.2" x14ac:dyDescent="0.25">
      <c r="A290" s="3" t="s">
        <v>223</v>
      </c>
      <c r="B290" s="7">
        <v>44105</v>
      </c>
      <c r="C290" s="3" t="s">
        <v>36</v>
      </c>
      <c r="D290" s="8">
        <v>12.710420894565848</v>
      </c>
      <c r="E290" s="8">
        <v>300.31212768010721</v>
      </c>
      <c r="F290" s="9">
        <v>170400.57927663421</v>
      </c>
      <c r="G290" s="10">
        <v>0</v>
      </c>
      <c r="H290" s="9">
        <v>110000</v>
      </c>
      <c r="I290" s="10">
        <v>0</v>
      </c>
      <c r="J290" s="9">
        <v>0</v>
      </c>
      <c r="K290" s="9">
        <v>0</v>
      </c>
      <c r="L290" s="10">
        <v>0</v>
      </c>
      <c r="M290" s="10">
        <v>0</v>
      </c>
      <c r="N290" s="9">
        <v>0</v>
      </c>
      <c r="O290" s="9">
        <f t="shared" si="2"/>
        <v>0</v>
      </c>
      <c r="P290" s="9">
        <f t="shared" si="3"/>
        <v>0</v>
      </c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spans="1:42" ht="13.2" x14ac:dyDescent="0.25">
      <c r="A291" s="3" t="s">
        <v>171</v>
      </c>
      <c r="B291" s="7">
        <v>44105</v>
      </c>
      <c r="C291" s="3" t="s">
        <v>36</v>
      </c>
      <c r="D291" s="8">
        <v>4.1337779088279749</v>
      </c>
      <c r="E291" s="8">
        <v>195.3356357965032</v>
      </c>
      <c r="F291" s="9">
        <v>19636.846769400254</v>
      </c>
      <c r="G291" s="10">
        <v>0</v>
      </c>
      <c r="H291" s="9">
        <v>30000</v>
      </c>
      <c r="I291" s="10">
        <v>0</v>
      </c>
      <c r="J291" s="9">
        <v>0</v>
      </c>
      <c r="K291" s="9">
        <v>0</v>
      </c>
      <c r="L291" s="10">
        <v>0</v>
      </c>
      <c r="M291" s="10">
        <v>0</v>
      </c>
      <c r="N291" s="9">
        <v>0</v>
      </c>
      <c r="O291" s="9">
        <f t="shared" si="2"/>
        <v>0</v>
      </c>
      <c r="P291" s="9">
        <f t="shared" si="3"/>
        <v>0</v>
      </c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spans="1:42" ht="13.2" x14ac:dyDescent="0.25">
      <c r="A292" s="3" t="s">
        <v>161</v>
      </c>
      <c r="B292" s="7">
        <v>44105</v>
      </c>
      <c r="C292" s="3" t="s">
        <v>36</v>
      </c>
      <c r="D292" s="8">
        <v>3</v>
      </c>
      <c r="E292" s="8">
        <v>343.73607723287051</v>
      </c>
      <c r="F292" s="9">
        <v>102688.77190688901</v>
      </c>
      <c r="G292" s="10">
        <v>0</v>
      </c>
      <c r="H292" s="9">
        <v>70000</v>
      </c>
      <c r="I292" s="10">
        <v>0</v>
      </c>
      <c r="J292" s="9">
        <v>0</v>
      </c>
      <c r="K292" s="9">
        <v>0</v>
      </c>
      <c r="L292" s="10">
        <v>0</v>
      </c>
      <c r="M292" s="10">
        <v>0</v>
      </c>
      <c r="N292" s="9">
        <v>0</v>
      </c>
      <c r="O292" s="9">
        <f t="shared" si="2"/>
        <v>0</v>
      </c>
      <c r="P292" s="9">
        <f t="shared" si="3"/>
        <v>0</v>
      </c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spans="1:42" ht="13.2" x14ac:dyDescent="0.25">
      <c r="A293" s="3" t="s">
        <v>151</v>
      </c>
      <c r="B293" s="7">
        <v>44105</v>
      </c>
      <c r="C293" s="3" t="s">
        <v>39</v>
      </c>
      <c r="D293" s="8">
        <v>29.801576313574603</v>
      </c>
      <c r="E293" s="8">
        <v>227.79585305509292</v>
      </c>
      <c r="F293" s="9">
        <v>49238.695040055449</v>
      </c>
      <c r="G293" s="10">
        <v>-1</v>
      </c>
      <c r="H293" s="9">
        <v>40000</v>
      </c>
      <c r="I293" s="10">
        <v>0</v>
      </c>
      <c r="J293" s="9">
        <v>0</v>
      </c>
      <c r="K293" s="9">
        <v>0</v>
      </c>
      <c r="L293" s="10">
        <v>0</v>
      </c>
      <c r="M293" s="10">
        <v>0</v>
      </c>
      <c r="N293" s="9">
        <v>0</v>
      </c>
      <c r="O293" s="9">
        <f t="shared" si="2"/>
        <v>0</v>
      </c>
      <c r="P293" s="9">
        <f t="shared" si="3"/>
        <v>0</v>
      </c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42" ht="13.2" x14ac:dyDescent="0.25">
      <c r="A294" s="3" t="s">
        <v>78</v>
      </c>
      <c r="B294" s="7">
        <v>44105</v>
      </c>
      <c r="C294" s="3" t="s">
        <v>36</v>
      </c>
      <c r="D294" s="8">
        <v>70.241962809106155</v>
      </c>
      <c r="E294" s="8">
        <v>60</v>
      </c>
      <c r="F294" s="9">
        <v>109639.08634872745</v>
      </c>
      <c r="G294" s="10">
        <v>0</v>
      </c>
      <c r="H294" s="9">
        <v>170000</v>
      </c>
      <c r="I294" s="10">
        <v>1</v>
      </c>
      <c r="J294" s="9">
        <v>170000</v>
      </c>
      <c r="K294" s="9">
        <v>11037.528684508481</v>
      </c>
      <c r="L294" s="10">
        <v>6</v>
      </c>
      <c r="M294" s="10">
        <v>0</v>
      </c>
      <c r="N294" s="9">
        <v>0</v>
      </c>
      <c r="O294" s="9">
        <f t="shared" si="2"/>
        <v>4250</v>
      </c>
      <c r="P294" s="9">
        <f t="shared" si="3"/>
        <v>3400</v>
      </c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spans="1:42" ht="13.2" x14ac:dyDescent="0.25">
      <c r="A295" s="3" t="s">
        <v>67</v>
      </c>
      <c r="B295" s="7">
        <v>44105</v>
      </c>
      <c r="C295" s="3" t="s">
        <v>36</v>
      </c>
      <c r="D295" s="8">
        <v>14.958415760745314</v>
      </c>
      <c r="E295" s="8">
        <v>207.91760962300543</v>
      </c>
      <c r="F295" s="9">
        <v>237644.59153071439</v>
      </c>
      <c r="G295" s="10">
        <v>0</v>
      </c>
      <c r="H295" s="9">
        <v>247000</v>
      </c>
      <c r="I295" s="10">
        <v>1</v>
      </c>
      <c r="J295" s="9">
        <v>247000</v>
      </c>
      <c r="K295" s="9">
        <v>22274.337649929239</v>
      </c>
      <c r="L295" s="10">
        <v>6</v>
      </c>
      <c r="M295" s="10">
        <v>0</v>
      </c>
      <c r="N295" s="9">
        <v>0</v>
      </c>
      <c r="O295" s="9">
        <f t="shared" si="2"/>
        <v>6175</v>
      </c>
      <c r="P295" s="9">
        <f t="shared" si="3"/>
        <v>4940</v>
      </c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spans="1:42" ht="13.2" x14ac:dyDescent="0.25">
      <c r="A296" s="3" t="s">
        <v>186</v>
      </c>
      <c r="B296" s="7">
        <v>44136</v>
      </c>
      <c r="C296" s="3" t="s">
        <v>36</v>
      </c>
      <c r="D296" s="8">
        <v>3.3342541189476851</v>
      </c>
      <c r="E296" s="8">
        <v>393.42888955721202</v>
      </c>
      <c r="F296" s="9">
        <v>60238.191893344214</v>
      </c>
      <c r="G296" s="10">
        <v>0</v>
      </c>
      <c r="H296" s="9">
        <v>40000</v>
      </c>
      <c r="I296" s="10">
        <v>0</v>
      </c>
      <c r="J296" s="9">
        <v>0</v>
      </c>
      <c r="K296" s="9">
        <v>0</v>
      </c>
      <c r="L296" s="10">
        <v>0</v>
      </c>
      <c r="M296" s="10">
        <v>0</v>
      </c>
      <c r="N296" s="9">
        <v>0</v>
      </c>
      <c r="O296" s="9">
        <f t="shared" si="2"/>
        <v>0</v>
      </c>
      <c r="P296" s="9">
        <f t="shared" si="3"/>
        <v>0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spans="1:42" ht="13.2" x14ac:dyDescent="0.25">
      <c r="A297" s="3" t="s">
        <v>195</v>
      </c>
      <c r="B297" s="7">
        <v>44136</v>
      </c>
      <c r="C297" s="3" t="s">
        <v>36</v>
      </c>
      <c r="D297" s="8">
        <v>51.126028529202856</v>
      </c>
      <c r="E297" s="8">
        <v>267.96396264536168</v>
      </c>
      <c r="F297" s="9">
        <v>189565.57909372461</v>
      </c>
      <c r="G297" s="10">
        <v>0</v>
      </c>
      <c r="H297" s="9">
        <v>130000</v>
      </c>
      <c r="I297" s="10">
        <v>1</v>
      </c>
      <c r="J297" s="9">
        <v>130000</v>
      </c>
      <c r="K297" s="9">
        <v>10206.987173639034</v>
      </c>
      <c r="L297" s="10">
        <v>6</v>
      </c>
      <c r="M297" s="10">
        <v>0</v>
      </c>
      <c r="N297" s="9">
        <v>0</v>
      </c>
      <c r="O297" s="9">
        <f t="shared" si="2"/>
        <v>3250</v>
      </c>
      <c r="P297" s="9">
        <f t="shared" si="3"/>
        <v>2600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1:42" ht="13.2" x14ac:dyDescent="0.25">
      <c r="A298" s="3" t="s">
        <v>224</v>
      </c>
      <c r="B298" s="7">
        <v>44136</v>
      </c>
      <c r="C298" s="3" t="s">
        <v>39</v>
      </c>
      <c r="D298" s="8">
        <v>25.902251610848609</v>
      </c>
      <c r="E298" s="8">
        <v>339.63072106322852</v>
      </c>
      <c r="F298" s="9">
        <v>15768.72737438609</v>
      </c>
      <c r="G298" s="10">
        <v>-1</v>
      </c>
      <c r="H298" s="9">
        <v>10000</v>
      </c>
      <c r="I298" s="10">
        <v>1</v>
      </c>
      <c r="J298" s="9">
        <v>10000</v>
      </c>
      <c r="K298" s="9">
        <v>738.92363745511489</v>
      </c>
      <c r="L298" s="10">
        <v>6</v>
      </c>
      <c r="M298" s="10">
        <v>0</v>
      </c>
      <c r="N298" s="9">
        <v>0</v>
      </c>
      <c r="O298" s="9">
        <f t="shared" si="2"/>
        <v>250</v>
      </c>
      <c r="P298" s="9">
        <f t="shared" si="3"/>
        <v>200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spans="1:42" ht="13.2" x14ac:dyDescent="0.25">
      <c r="A299" s="3" t="s">
        <v>160</v>
      </c>
      <c r="B299" s="7">
        <v>44136</v>
      </c>
      <c r="C299" s="3" t="s">
        <v>36</v>
      </c>
      <c r="D299" s="8">
        <v>26.273827008605789</v>
      </c>
      <c r="E299" s="8">
        <v>241.65935966650153</v>
      </c>
      <c r="F299" s="9">
        <v>75689.23973981959</v>
      </c>
      <c r="G299" s="10">
        <v>-1</v>
      </c>
      <c r="H299" s="9">
        <v>90000</v>
      </c>
      <c r="I299" s="10">
        <v>0</v>
      </c>
      <c r="J299" s="9">
        <v>0</v>
      </c>
      <c r="K299" s="9">
        <v>0</v>
      </c>
      <c r="L299" s="10">
        <v>0</v>
      </c>
      <c r="M299" s="10">
        <v>0</v>
      </c>
      <c r="N299" s="9">
        <v>0</v>
      </c>
      <c r="O299" s="9">
        <f t="shared" si="2"/>
        <v>0</v>
      </c>
      <c r="P299" s="9">
        <f t="shared" si="3"/>
        <v>0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spans="1:42" ht="13.2" x14ac:dyDescent="0.25">
      <c r="A300" s="3" t="s">
        <v>190</v>
      </c>
      <c r="B300" s="7">
        <v>44136</v>
      </c>
      <c r="C300" s="3" t="s">
        <v>39</v>
      </c>
      <c r="D300" s="8">
        <v>19.269842079177224</v>
      </c>
      <c r="E300" s="8">
        <v>151.99825621240745</v>
      </c>
      <c r="F300" s="9">
        <v>37733.693905479544</v>
      </c>
      <c r="G300" s="10">
        <v>-1</v>
      </c>
      <c r="H300" s="9">
        <v>70000</v>
      </c>
      <c r="I300" s="10">
        <v>1</v>
      </c>
      <c r="J300" s="9">
        <v>70000</v>
      </c>
      <c r="K300" s="9">
        <v>5664.7663218961734</v>
      </c>
      <c r="L300" s="10">
        <v>6</v>
      </c>
      <c r="M300" s="10">
        <v>0</v>
      </c>
      <c r="N300" s="9">
        <v>0</v>
      </c>
      <c r="O300" s="9">
        <f t="shared" si="2"/>
        <v>1750</v>
      </c>
      <c r="P300" s="9">
        <f t="shared" si="3"/>
        <v>1400</v>
      </c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spans="1:42" ht="13.2" x14ac:dyDescent="0.25">
      <c r="A301" s="3" t="s">
        <v>225</v>
      </c>
      <c r="B301" s="7">
        <v>44136</v>
      </c>
      <c r="C301" s="3" t="s">
        <v>63</v>
      </c>
      <c r="D301" s="8">
        <v>23.523488497543234</v>
      </c>
      <c r="E301" s="8">
        <v>100.15606651031899</v>
      </c>
      <c r="F301" s="9">
        <v>112248.48270600797</v>
      </c>
      <c r="G301" s="10">
        <v>-1</v>
      </c>
      <c r="H301" s="9">
        <v>180000</v>
      </c>
      <c r="I301" s="10">
        <v>0</v>
      </c>
      <c r="J301" s="9">
        <v>0</v>
      </c>
      <c r="K301" s="9">
        <v>0</v>
      </c>
      <c r="L301" s="10">
        <v>0</v>
      </c>
      <c r="M301" s="10">
        <v>0</v>
      </c>
      <c r="N301" s="9">
        <v>0</v>
      </c>
      <c r="O301" s="9">
        <f t="shared" si="2"/>
        <v>0</v>
      </c>
      <c r="P301" s="9">
        <f t="shared" si="3"/>
        <v>0</v>
      </c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1:42" ht="13.2" x14ac:dyDescent="0.25">
      <c r="A302" s="3" t="s">
        <v>226</v>
      </c>
      <c r="B302" s="7">
        <v>44136</v>
      </c>
      <c r="C302" s="3" t="s">
        <v>39</v>
      </c>
      <c r="D302" s="8">
        <v>45.122474028963666</v>
      </c>
      <c r="E302" s="8">
        <v>60</v>
      </c>
      <c r="F302" s="9">
        <v>267593.26350643235</v>
      </c>
      <c r="G302" s="10">
        <v>1</v>
      </c>
      <c r="H302" s="9">
        <v>400000</v>
      </c>
      <c r="I302" s="10">
        <v>0</v>
      </c>
      <c r="J302" s="9">
        <v>0</v>
      </c>
      <c r="K302" s="9">
        <v>0</v>
      </c>
      <c r="L302" s="10">
        <v>0</v>
      </c>
      <c r="M302" s="10">
        <v>0</v>
      </c>
      <c r="N302" s="9">
        <v>0</v>
      </c>
      <c r="O302" s="9">
        <f t="shared" si="2"/>
        <v>0</v>
      </c>
      <c r="P302" s="9">
        <f t="shared" si="3"/>
        <v>0</v>
      </c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spans="1:42" ht="13.2" x14ac:dyDescent="0.25">
      <c r="A303" s="3" t="s">
        <v>110</v>
      </c>
      <c r="B303" s="7">
        <v>44136</v>
      </c>
      <c r="C303" s="3" t="s">
        <v>36</v>
      </c>
      <c r="D303" s="8">
        <v>3</v>
      </c>
      <c r="E303" s="8">
        <v>189.4417879678065</v>
      </c>
      <c r="F303" s="9">
        <v>677930.72548738739</v>
      </c>
      <c r="G303" s="10">
        <v>-1</v>
      </c>
      <c r="H303" s="9">
        <v>660000</v>
      </c>
      <c r="I303" s="10">
        <v>1</v>
      </c>
      <c r="J303" s="9">
        <v>660000</v>
      </c>
      <c r="K303" s="9">
        <v>57270.409210545426</v>
      </c>
      <c r="L303" s="10">
        <v>6</v>
      </c>
      <c r="M303" s="10">
        <v>1</v>
      </c>
      <c r="N303" s="9">
        <v>309236.6980514875</v>
      </c>
      <c r="O303" s="9">
        <f t="shared" si="2"/>
        <v>16500</v>
      </c>
      <c r="P303" s="9">
        <f t="shared" si="3"/>
        <v>13200</v>
      </c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spans="1:42" ht="13.2" x14ac:dyDescent="0.25">
      <c r="A304" s="3" t="s">
        <v>135</v>
      </c>
      <c r="B304" s="7">
        <v>44136</v>
      </c>
      <c r="C304" s="3" t="s">
        <v>39</v>
      </c>
      <c r="D304" s="8">
        <v>3</v>
      </c>
      <c r="E304" s="8">
        <v>326.25932519185972</v>
      </c>
      <c r="F304" s="9">
        <v>7848.7023638748233</v>
      </c>
      <c r="G304" s="10">
        <v>0</v>
      </c>
      <c r="H304" s="9">
        <v>10000</v>
      </c>
      <c r="I304" s="10">
        <v>1</v>
      </c>
      <c r="J304" s="9">
        <v>10000</v>
      </c>
      <c r="K304" s="9">
        <v>787.87516214514881</v>
      </c>
      <c r="L304" s="10">
        <v>6</v>
      </c>
      <c r="M304" s="10">
        <v>0</v>
      </c>
      <c r="N304" s="9">
        <v>0</v>
      </c>
      <c r="O304" s="9">
        <f t="shared" si="2"/>
        <v>250</v>
      </c>
      <c r="P304" s="9">
        <f t="shared" si="3"/>
        <v>200</v>
      </c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spans="1:42" ht="13.2" x14ac:dyDescent="0.25">
      <c r="A305" s="3" t="s">
        <v>227</v>
      </c>
      <c r="B305" s="7">
        <v>44136</v>
      </c>
      <c r="C305" s="3" t="s">
        <v>36</v>
      </c>
      <c r="D305" s="8">
        <v>9.3074473883989093</v>
      </c>
      <c r="E305" s="8">
        <v>69.322979828776198</v>
      </c>
      <c r="F305" s="9">
        <v>6094.7878279146971</v>
      </c>
      <c r="G305" s="10">
        <v>0</v>
      </c>
      <c r="H305" s="9">
        <v>10000</v>
      </c>
      <c r="I305" s="10">
        <v>1</v>
      </c>
      <c r="J305" s="9">
        <v>10000</v>
      </c>
      <c r="K305" s="9">
        <v>1262.6759504047525</v>
      </c>
      <c r="L305" s="10">
        <v>6</v>
      </c>
      <c r="M305" s="10">
        <v>0</v>
      </c>
      <c r="N305" s="9">
        <v>0</v>
      </c>
      <c r="O305" s="9">
        <f t="shared" si="2"/>
        <v>250</v>
      </c>
      <c r="P305" s="9">
        <f t="shared" si="3"/>
        <v>200</v>
      </c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1:42" ht="13.2" x14ac:dyDescent="0.25">
      <c r="A306" s="3" t="s">
        <v>102</v>
      </c>
      <c r="B306" s="7">
        <v>44136</v>
      </c>
      <c r="C306" s="3" t="s">
        <v>36</v>
      </c>
      <c r="D306" s="8">
        <v>29.160528541414443</v>
      </c>
      <c r="E306" s="8">
        <v>202.47358598938382</v>
      </c>
      <c r="F306" s="9">
        <v>166338.96100075907</v>
      </c>
      <c r="G306" s="10">
        <v>-1</v>
      </c>
      <c r="H306" s="9">
        <v>150000</v>
      </c>
      <c r="I306" s="10">
        <v>1</v>
      </c>
      <c r="J306" s="9">
        <v>150000</v>
      </c>
      <c r="K306" s="9">
        <v>12038.777822816202</v>
      </c>
      <c r="L306" s="10">
        <v>6</v>
      </c>
      <c r="M306" s="10">
        <v>1</v>
      </c>
      <c r="N306" s="9">
        <v>77071.03474930946</v>
      </c>
      <c r="O306" s="9">
        <f t="shared" si="2"/>
        <v>3750</v>
      </c>
      <c r="P306" s="9">
        <f t="shared" si="3"/>
        <v>3000</v>
      </c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spans="1:42" ht="13.2" x14ac:dyDescent="0.25">
      <c r="A307" s="3" t="s">
        <v>228</v>
      </c>
      <c r="B307" s="7">
        <v>44136</v>
      </c>
      <c r="C307" s="3" t="s">
        <v>39</v>
      </c>
      <c r="D307" s="8">
        <v>19.715464545251518</v>
      </c>
      <c r="E307" s="8">
        <v>80.214328548018415</v>
      </c>
      <c r="F307" s="9">
        <v>18686.296309759087</v>
      </c>
      <c r="G307" s="10">
        <v>-1</v>
      </c>
      <c r="H307" s="9">
        <v>30000</v>
      </c>
      <c r="I307" s="10">
        <v>0</v>
      </c>
      <c r="J307" s="9">
        <v>0</v>
      </c>
      <c r="K307" s="9">
        <v>0</v>
      </c>
      <c r="L307" s="10">
        <v>0</v>
      </c>
      <c r="M307" s="10">
        <v>0</v>
      </c>
      <c r="N307" s="9">
        <v>0</v>
      </c>
      <c r="O307" s="9">
        <f t="shared" si="2"/>
        <v>0</v>
      </c>
      <c r="P307" s="9">
        <f t="shared" si="3"/>
        <v>0</v>
      </c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spans="1:42" ht="13.2" x14ac:dyDescent="0.25">
      <c r="A308" s="3" t="s">
        <v>229</v>
      </c>
      <c r="B308" s="7">
        <v>44136</v>
      </c>
      <c r="C308" s="3" t="s">
        <v>36</v>
      </c>
      <c r="D308" s="8">
        <v>15.278541336186452</v>
      </c>
      <c r="E308" s="8">
        <v>65.146497696550526</v>
      </c>
      <c r="F308" s="9">
        <v>26608.329124106211</v>
      </c>
      <c r="G308" s="10">
        <v>-1</v>
      </c>
      <c r="H308" s="9">
        <v>50000</v>
      </c>
      <c r="I308" s="10">
        <v>0</v>
      </c>
      <c r="J308" s="9">
        <v>0</v>
      </c>
      <c r="K308" s="9">
        <v>0</v>
      </c>
      <c r="L308" s="10">
        <v>0</v>
      </c>
      <c r="M308" s="10">
        <v>0</v>
      </c>
      <c r="N308" s="9">
        <v>0</v>
      </c>
      <c r="O308" s="9">
        <f t="shared" si="2"/>
        <v>0</v>
      </c>
      <c r="P308" s="9">
        <f t="shared" si="3"/>
        <v>0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spans="1:42" ht="13.2" x14ac:dyDescent="0.25">
      <c r="A309" s="3" t="s">
        <v>189</v>
      </c>
      <c r="B309" s="7">
        <v>44136</v>
      </c>
      <c r="C309" s="3" t="s">
        <v>36</v>
      </c>
      <c r="D309" s="8">
        <v>42.910644105112276</v>
      </c>
      <c r="E309" s="8">
        <v>320.19757797708178</v>
      </c>
      <c r="F309" s="9">
        <v>11697.443463675456</v>
      </c>
      <c r="G309" s="10">
        <v>0</v>
      </c>
      <c r="H309" s="9">
        <v>10000</v>
      </c>
      <c r="I309" s="10">
        <v>0</v>
      </c>
      <c r="J309" s="9">
        <v>0</v>
      </c>
      <c r="K309" s="9">
        <v>0</v>
      </c>
      <c r="L309" s="10">
        <v>0</v>
      </c>
      <c r="M309" s="10">
        <v>0</v>
      </c>
      <c r="N309" s="9">
        <v>0</v>
      </c>
      <c r="O309" s="9">
        <f t="shared" si="2"/>
        <v>0</v>
      </c>
      <c r="P309" s="9">
        <f t="shared" si="3"/>
        <v>0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1:42" ht="13.2" x14ac:dyDescent="0.25">
      <c r="A310" s="3" t="s">
        <v>230</v>
      </c>
      <c r="B310" s="7">
        <v>44136</v>
      </c>
      <c r="C310" s="3" t="s">
        <v>36</v>
      </c>
      <c r="D310" s="8">
        <v>3</v>
      </c>
      <c r="E310" s="8">
        <v>60</v>
      </c>
      <c r="F310" s="9">
        <v>16915.522528024707</v>
      </c>
      <c r="G310" s="10">
        <v>1</v>
      </c>
      <c r="H310" s="9">
        <v>30000</v>
      </c>
      <c r="I310" s="10">
        <v>0</v>
      </c>
      <c r="J310" s="9">
        <v>0</v>
      </c>
      <c r="K310" s="9">
        <v>0</v>
      </c>
      <c r="L310" s="10">
        <v>0</v>
      </c>
      <c r="M310" s="10">
        <v>0</v>
      </c>
      <c r="N310" s="9">
        <v>0</v>
      </c>
      <c r="O310" s="9">
        <f t="shared" si="2"/>
        <v>0</v>
      </c>
      <c r="P310" s="9">
        <f t="shared" si="3"/>
        <v>0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spans="1:42" ht="13.2" x14ac:dyDescent="0.25">
      <c r="A311" s="3" t="s">
        <v>231</v>
      </c>
      <c r="B311" s="7">
        <v>44136</v>
      </c>
      <c r="C311" s="3" t="s">
        <v>36</v>
      </c>
      <c r="D311" s="8">
        <v>3</v>
      </c>
      <c r="E311" s="8">
        <v>242.51695468631988</v>
      </c>
      <c r="F311" s="9">
        <v>31110.350475370313</v>
      </c>
      <c r="G311" s="10">
        <v>-1</v>
      </c>
      <c r="H311" s="9">
        <v>20000</v>
      </c>
      <c r="I311" s="10">
        <v>1</v>
      </c>
      <c r="J311" s="9">
        <v>20000</v>
      </c>
      <c r="K311" s="9">
        <v>2106.8717316319849</v>
      </c>
      <c r="L311" s="10">
        <v>6</v>
      </c>
      <c r="M311" s="10">
        <v>0</v>
      </c>
      <c r="N311" s="9">
        <v>0</v>
      </c>
      <c r="O311" s="9">
        <f t="shared" si="2"/>
        <v>500</v>
      </c>
      <c r="P311" s="9">
        <f t="shared" si="3"/>
        <v>400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spans="1:42" ht="13.2" x14ac:dyDescent="0.25">
      <c r="A312" s="3" t="s">
        <v>232</v>
      </c>
      <c r="B312" s="7">
        <v>44136</v>
      </c>
      <c r="C312" s="3" t="s">
        <v>39</v>
      </c>
      <c r="D312" s="8">
        <v>3</v>
      </c>
      <c r="E312" s="8">
        <v>292.09284977433265</v>
      </c>
      <c r="F312" s="9">
        <v>35640.455957075064</v>
      </c>
      <c r="G312" s="10">
        <v>1</v>
      </c>
      <c r="H312" s="9">
        <v>50000</v>
      </c>
      <c r="I312" s="10">
        <v>1</v>
      </c>
      <c r="J312" s="9">
        <v>50000</v>
      </c>
      <c r="K312" s="9">
        <v>4934.7254440044753</v>
      </c>
      <c r="L312" s="10">
        <v>6</v>
      </c>
      <c r="M312" s="10">
        <v>0</v>
      </c>
      <c r="N312" s="9">
        <v>0</v>
      </c>
      <c r="O312" s="9">
        <f t="shared" si="2"/>
        <v>1250</v>
      </c>
      <c r="P312" s="9">
        <f t="shared" si="3"/>
        <v>1000</v>
      </c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spans="1:42" ht="13.2" x14ac:dyDescent="0.25">
      <c r="A313" s="3" t="s">
        <v>233</v>
      </c>
      <c r="B313" s="7">
        <v>44136</v>
      </c>
      <c r="C313" s="3" t="s">
        <v>36</v>
      </c>
      <c r="D313" s="8">
        <v>13.805554028190649</v>
      </c>
      <c r="E313" s="8">
        <v>60</v>
      </c>
      <c r="F313" s="9">
        <v>28466.465056550518</v>
      </c>
      <c r="G313" s="10">
        <v>1</v>
      </c>
      <c r="H313" s="9">
        <v>40000</v>
      </c>
      <c r="I313" s="10">
        <v>0</v>
      </c>
      <c r="J313" s="9">
        <v>0</v>
      </c>
      <c r="K313" s="9">
        <v>0</v>
      </c>
      <c r="L313" s="10">
        <v>0</v>
      </c>
      <c r="M313" s="10">
        <v>0</v>
      </c>
      <c r="N313" s="9">
        <v>0</v>
      </c>
      <c r="O313" s="9">
        <f t="shared" si="2"/>
        <v>0</v>
      </c>
      <c r="P313" s="9">
        <f t="shared" si="3"/>
        <v>0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spans="1:42" ht="13.2" x14ac:dyDescent="0.25">
      <c r="A314" s="3" t="s">
        <v>234</v>
      </c>
      <c r="B314" s="7">
        <v>44136</v>
      </c>
      <c r="C314" s="3" t="s">
        <v>36</v>
      </c>
      <c r="D314" s="8">
        <v>3</v>
      </c>
      <c r="E314" s="8">
        <v>85.276662827713949</v>
      </c>
      <c r="F314" s="9">
        <v>4449.8196927744812</v>
      </c>
      <c r="G314" s="10">
        <v>-1</v>
      </c>
      <c r="H314" s="9">
        <v>6000</v>
      </c>
      <c r="I314" s="10">
        <v>1</v>
      </c>
      <c r="J314" s="9">
        <v>6000</v>
      </c>
      <c r="K314" s="9">
        <v>251.48187948771439</v>
      </c>
      <c r="L314" s="10">
        <v>6</v>
      </c>
      <c r="M314" s="10">
        <v>0</v>
      </c>
      <c r="N314" s="9">
        <v>0</v>
      </c>
      <c r="O314" s="9">
        <f t="shared" si="2"/>
        <v>150</v>
      </c>
      <c r="P314" s="9">
        <f t="shared" si="3"/>
        <v>120</v>
      </c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spans="1:42" ht="13.2" x14ac:dyDescent="0.25">
      <c r="A315" s="3" t="s">
        <v>235</v>
      </c>
      <c r="B315" s="7">
        <v>44136</v>
      </c>
      <c r="C315" s="3" t="s">
        <v>36</v>
      </c>
      <c r="D315" s="8">
        <v>34.894343652652474</v>
      </c>
      <c r="E315" s="8">
        <v>223.26654817416966</v>
      </c>
      <c r="F315" s="9">
        <v>6752.3221116921668</v>
      </c>
      <c r="G315" s="10">
        <v>-1</v>
      </c>
      <c r="H315" s="9">
        <v>10000</v>
      </c>
      <c r="I315" s="10">
        <v>0</v>
      </c>
      <c r="J315" s="9">
        <v>0</v>
      </c>
      <c r="K315" s="9">
        <v>0</v>
      </c>
      <c r="L315" s="10">
        <v>0</v>
      </c>
      <c r="M315" s="10">
        <v>0</v>
      </c>
      <c r="N315" s="9">
        <v>0</v>
      </c>
      <c r="O315" s="9">
        <f t="shared" si="2"/>
        <v>0</v>
      </c>
      <c r="P315" s="9">
        <f t="shared" si="3"/>
        <v>0</v>
      </c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spans="1:42" ht="13.2" x14ac:dyDescent="0.25">
      <c r="A316" s="3" t="s">
        <v>236</v>
      </c>
      <c r="B316" s="7">
        <v>44136</v>
      </c>
      <c r="C316" s="3" t="s">
        <v>36</v>
      </c>
      <c r="D316" s="8">
        <v>3</v>
      </c>
      <c r="E316" s="8">
        <v>148.69985545343238</v>
      </c>
      <c r="F316" s="9">
        <v>5431.6300901155446</v>
      </c>
      <c r="G316" s="10">
        <v>-1</v>
      </c>
      <c r="H316" s="9">
        <v>10000</v>
      </c>
      <c r="I316" s="10">
        <v>1</v>
      </c>
      <c r="J316" s="9">
        <v>10000</v>
      </c>
      <c r="K316" s="9">
        <v>1013.372118647428</v>
      </c>
      <c r="L316" s="10">
        <v>6</v>
      </c>
      <c r="M316" s="10">
        <v>0</v>
      </c>
      <c r="N316" s="9">
        <v>0</v>
      </c>
      <c r="O316" s="9">
        <f t="shared" si="2"/>
        <v>250</v>
      </c>
      <c r="P316" s="9">
        <f t="shared" si="3"/>
        <v>200</v>
      </c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spans="1:42" ht="13.2" x14ac:dyDescent="0.25">
      <c r="A317" s="3" t="s">
        <v>90</v>
      </c>
      <c r="B317" s="7">
        <v>44136</v>
      </c>
      <c r="C317" s="3" t="s">
        <v>36</v>
      </c>
      <c r="D317" s="8">
        <v>18.76758744138688</v>
      </c>
      <c r="E317" s="8">
        <v>266.69406752390228</v>
      </c>
      <c r="F317" s="9">
        <v>60924.990329910783</v>
      </c>
      <c r="G317" s="10">
        <v>-1</v>
      </c>
      <c r="H317" s="9">
        <v>90000</v>
      </c>
      <c r="I317" s="10">
        <v>1</v>
      </c>
      <c r="J317" s="9">
        <v>90000</v>
      </c>
      <c r="K317" s="9">
        <v>9921.9581788401811</v>
      </c>
      <c r="L317" s="10">
        <v>6</v>
      </c>
      <c r="M317" s="10">
        <v>0</v>
      </c>
      <c r="N317" s="9">
        <v>0</v>
      </c>
      <c r="O317" s="9">
        <f t="shared" si="2"/>
        <v>2250</v>
      </c>
      <c r="P317" s="9">
        <f t="shared" si="3"/>
        <v>1800</v>
      </c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42" ht="13.2" x14ac:dyDescent="0.25">
      <c r="A318" s="3" t="s">
        <v>237</v>
      </c>
      <c r="B318" s="7">
        <v>44136</v>
      </c>
      <c r="C318" s="3" t="s">
        <v>36</v>
      </c>
      <c r="D318" s="8">
        <v>31.825902225658858</v>
      </c>
      <c r="E318" s="8">
        <v>189.3295851138262</v>
      </c>
      <c r="F318" s="9">
        <v>31066.384734279807</v>
      </c>
      <c r="G318" s="10">
        <v>0</v>
      </c>
      <c r="H318" s="9">
        <v>40000</v>
      </c>
      <c r="I318" s="10">
        <v>1</v>
      </c>
      <c r="J318" s="9">
        <v>40000</v>
      </c>
      <c r="K318" s="9">
        <v>2764.8208172211143</v>
      </c>
      <c r="L318" s="10">
        <v>5</v>
      </c>
      <c r="M318" s="10">
        <v>0</v>
      </c>
      <c r="N318" s="9">
        <v>0</v>
      </c>
      <c r="O318" s="9">
        <f t="shared" si="2"/>
        <v>1000</v>
      </c>
      <c r="P318" s="9">
        <f t="shared" si="3"/>
        <v>800</v>
      </c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spans="1:42" ht="13.2" x14ac:dyDescent="0.25">
      <c r="A319" s="3" t="s">
        <v>142</v>
      </c>
      <c r="B319" s="7">
        <v>44136</v>
      </c>
      <c r="C319" s="3" t="s">
        <v>39</v>
      </c>
      <c r="D319" s="8">
        <v>71.536064416459169</v>
      </c>
      <c r="E319" s="8">
        <v>222.33081914498081</v>
      </c>
      <c r="F319" s="9">
        <v>185769.88662579999</v>
      </c>
      <c r="G319" s="10">
        <v>-1</v>
      </c>
      <c r="H319" s="9">
        <v>120000</v>
      </c>
      <c r="I319" s="10">
        <v>0</v>
      </c>
      <c r="J319" s="9">
        <v>0</v>
      </c>
      <c r="K319" s="9">
        <v>0</v>
      </c>
      <c r="L319" s="10">
        <v>0</v>
      </c>
      <c r="M319" s="10">
        <v>0</v>
      </c>
      <c r="N319" s="9">
        <v>0</v>
      </c>
      <c r="O319" s="9">
        <f t="shared" si="2"/>
        <v>0</v>
      </c>
      <c r="P319" s="9">
        <f t="shared" si="3"/>
        <v>0</v>
      </c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spans="1:42" ht="13.2" x14ac:dyDescent="0.25">
      <c r="A320" s="3" t="s">
        <v>238</v>
      </c>
      <c r="B320" s="7">
        <v>44136</v>
      </c>
      <c r="C320" s="3" t="s">
        <v>39</v>
      </c>
      <c r="D320" s="8">
        <v>24.841952823205666</v>
      </c>
      <c r="E320" s="8">
        <v>60</v>
      </c>
      <c r="F320" s="9">
        <v>31036.52472983328</v>
      </c>
      <c r="G320" s="10">
        <v>1</v>
      </c>
      <c r="H320" s="9">
        <v>50000</v>
      </c>
      <c r="I320" s="10">
        <v>0</v>
      </c>
      <c r="J320" s="9">
        <v>0</v>
      </c>
      <c r="K320" s="9">
        <v>0</v>
      </c>
      <c r="L320" s="10">
        <v>0</v>
      </c>
      <c r="M320" s="10">
        <v>0</v>
      </c>
      <c r="N320" s="9">
        <v>0</v>
      </c>
      <c r="O320" s="9">
        <f t="shared" si="2"/>
        <v>0</v>
      </c>
      <c r="P320" s="9">
        <f t="shared" si="3"/>
        <v>0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spans="1:42" ht="13.2" x14ac:dyDescent="0.25">
      <c r="A321" s="3" t="s">
        <v>239</v>
      </c>
      <c r="B321" s="7">
        <v>44136</v>
      </c>
      <c r="C321" s="3" t="s">
        <v>36</v>
      </c>
      <c r="D321" s="8">
        <v>3</v>
      </c>
      <c r="E321" s="8">
        <v>177.37962058776242</v>
      </c>
      <c r="F321" s="9">
        <v>29948.313895305266</v>
      </c>
      <c r="G321" s="10">
        <v>1</v>
      </c>
      <c r="H321" s="9">
        <v>30000</v>
      </c>
      <c r="I321" s="10">
        <v>0</v>
      </c>
      <c r="J321" s="9">
        <v>0</v>
      </c>
      <c r="K321" s="9">
        <v>0</v>
      </c>
      <c r="L321" s="10">
        <v>0</v>
      </c>
      <c r="M321" s="10">
        <v>0</v>
      </c>
      <c r="N321" s="9">
        <v>0</v>
      </c>
      <c r="O321" s="9">
        <f t="shared" si="2"/>
        <v>0</v>
      </c>
      <c r="P321" s="9">
        <f t="shared" si="3"/>
        <v>0</v>
      </c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1:42" ht="13.2" x14ac:dyDescent="0.25">
      <c r="A322" s="3" t="s">
        <v>240</v>
      </c>
      <c r="B322" s="7">
        <v>44136</v>
      </c>
      <c r="C322" s="3" t="s">
        <v>36</v>
      </c>
      <c r="D322" s="8">
        <v>37.033621776355702</v>
      </c>
      <c r="E322" s="8">
        <v>122.50537441818615</v>
      </c>
      <c r="F322" s="9">
        <v>21059.952055795588</v>
      </c>
      <c r="G322" s="10">
        <v>0</v>
      </c>
      <c r="H322" s="9">
        <v>20000</v>
      </c>
      <c r="I322" s="10">
        <v>1</v>
      </c>
      <c r="J322" s="9">
        <v>20000</v>
      </c>
      <c r="K322" s="9">
        <v>1449.7272908359585</v>
      </c>
      <c r="L322" s="10">
        <v>6</v>
      </c>
      <c r="M322" s="10">
        <v>0</v>
      </c>
      <c r="N322" s="9">
        <v>0</v>
      </c>
      <c r="O322" s="9">
        <f t="shared" si="2"/>
        <v>500</v>
      </c>
      <c r="P322" s="9">
        <f t="shared" si="3"/>
        <v>400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spans="1:42" ht="13.2" x14ac:dyDescent="0.25">
      <c r="A323" s="3" t="s">
        <v>241</v>
      </c>
      <c r="B323" s="7">
        <v>44136</v>
      </c>
      <c r="C323" s="3" t="s">
        <v>36</v>
      </c>
      <c r="D323" s="8">
        <v>59.45955817371199</v>
      </c>
      <c r="E323" s="8">
        <v>317.98326338001897</v>
      </c>
      <c r="F323" s="9">
        <v>16001.608538944271</v>
      </c>
      <c r="G323" s="10">
        <v>0</v>
      </c>
      <c r="H323" s="9">
        <v>10000</v>
      </c>
      <c r="I323" s="10">
        <v>1</v>
      </c>
      <c r="J323" s="9">
        <v>10000</v>
      </c>
      <c r="K323" s="9">
        <v>1184.30865567759</v>
      </c>
      <c r="L323" s="10">
        <v>6</v>
      </c>
      <c r="M323" s="10">
        <v>0</v>
      </c>
      <c r="N323" s="9">
        <v>0</v>
      </c>
      <c r="O323" s="9">
        <f t="shared" si="2"/>
        <v>250</v>
      </c>
      <c r="P323" s="9">
        <f t="shared" si="3"/>
        <v>200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spans="1:42" ht="13.2" x14ac:dyDescent="0.25">
      <c r="A324" s="3" t="s">
        <v>242</v>
      </c>
      <c r="B324" s="7">
        <v>44136</v>
      </c>
      <c r="C324" s="3" t="s">
        <v>36</v>
      </c>
      <c r="D324" s="8">
        <v>3</v>
      </c>
      <c r="E324" s="8">
        <v>194.37554628185271</v>
      </c>
      <c r="F324" s="9">
        <v>22259.655686809205</v>
      </c>
      <c r="G324" s="10">
        <v>0</v>
      </c>
      <c r="H324" s="9">
        <v>30000</v>
      </c>
      <c r="I324" s="10">
        <v>0</v>
      </c>
      <c r="J324" s="9">
        <v>0</v>
      </c>
      <c r="K324" s="9">
        <v>0</v>
      </c>
      <c r="L324" s="10">
        <v>0</v>
      </c>
      <c r="M324" s="10">
        <v>0</v>
      </c>
      <c r="N324" s="9">
        <v>0</v>
      </c>
      <c r="O324" s="9">
        <f t="shared" si="2"/>
        <v>0</v>
      </c>
      <c r="P324" s="9">
        <f t="shared" si="3"/>
        <v>0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spans="1:42" ht="13.2" x14ac:dyDescent="0.25">
      <c r="A325" s="3" t="s">
        <v>243</v>
      </c>
      <c r="B325" s="7">
        <v>44136</v>
      </c>
      <c r="C325" s="3" t="s">
        <v>36</v>
      </c>
      <c r="D325" s="8">
        <v>18.944927502923985</v>
      </c>
      <c r="E325" s="8">
        <v>60</v>
      </c>
      <c r="F325" s="9">
        <v>27369.75808548956</v>
      </c>
      <c r="G325" s="10">
        <v>0</v>
      </c>
      <c r="H325" s="9">
        <v>40000</v>
      </c>
      <c r="I325" s="10">
        <v>0</v>
      </c>
      <c r="J325" s="9">
        <v>0</v>
      </c>
      <c r="K325" s="9">
        <v>0</v>
      </c>
      <c r="L325" s="10">
        <v>0</v>
      </c>
      <c r="M325" s="10">
        <v>0</v>
      </c>
      <c r="N325" s="9">
        <v>0</v>
      </c>
      <c r="O325" s="9">
        <f t="shared" si="2"/>
        <v>0</v>
      </c>
      <c r="P325" s="9">
        <f t="shared" si="3"/>
        <v>0</v>
      </c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1:42" ht="13.2" x14ac:dyDescent="0.25">
      <c r="A326" s="3" t="s">
        <v>244</v>
      </c>
      <c r="B326" s="7">
        <v>44136</v>
      </c>
      <c r="C326" s="3" t="s">
        <v>39</v>
      </c>
      <c r="D326" s="8">
        <v>3</v>
      </c>
      <c r="E326" s="8">
        <v>363.27003014852181</v>
      </c>
      <c r="F326" s="9">
        <v>174297.88384058571</v>
      </c>
      <c r="G326" s="10">
        <v>1</v>
      </c>
      <c r="H326" s="9">
        <v>120000</v>
      </c>
      <c r="I326" s="10">
        <v>1</v>
      </c>
      <c r="J326" s="9">
        <v>120000</v>
      </c>
      <c r="K326" s="9">
        <v>6398.3137512800795</v>
      </c>
      <c r="L326" s="10">
        <v>8</v>
      </c>
      <c r="M326" s="10">
        <v>0</v>
      </c>
      <c r="N326" s="9">
        <v>0</v>
      </c>
      <c r="O326" s="9">
        <f t="shared" si="2"/>
        <v>3000</v>
      </c>
      <c r="P326" s="9">
        <f t="shared" si="3"/>
        <v>2400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spans="1:42" ht="13.2" x14ac:dyDescent="0.25">
      <c r="A327" s="3" t="s">
        <v>93</v>
      </c>
      <c r="B327" s="7">
        <v>44136</v>
      </c>
      <c r="C327" s="3" t="s">
        <v>36</v>
      </c>
      <c r="D327" s="8">
        <v>12.197177834708974</v>
      </c>
      <c r="E327" s="8">
        <v>242.17644717899472</v>
      </c>
      <c r="F327" s="9">
        <v>344218.85374608147</v>
      </c>
      <c r="G327" s="10">
        <v>0</v>
      </c>
      <c r="H327" s="9">
        <v>233000</v>
      </c>
      <c r="I327" s="10">
        <v>1</v>
      </c>
      <c r="J327" s="9">
        <v>233000</v>
      </c>
      <c r="K327" s="9">
        <v>51322.928407637126</v>
      </c>
      <c r="L327" s="10">
        <v>12</v>
      </c>
      <c r="M327" s="10">
        <v>0</v>
      </c>
      <c r="N327" s="9">
        <v>0</v>
      </c>
      <c r="O327" s="9">
        <f t="shared" si="2"/>
        <v>5825</v>
      </c>
      <c r="P327" s="9">
        <f t="shared" si="3"/>
        <v>4660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spans="1:42" ht="13.2" x14ac:dyDescent="0.25">
      <c r="A328" s="3" t="s">
        <v>245</v>
      </c>
      <c r="B328" s="7">
        <v>44136</v>
      </c>
      <c r="C328" s="3" t="s">
        <v>36</v>
      </c>
      <c r="D328" s="8">
        <v>3</v>
      </c>
      <c r="E328" s="8">
        <v>270.88048732881543</v>
      </c>
      <c r="F328" s="9">
        <v>35657.367995197397</v>
      </c>
      <c r="G328" s="10">
        <v>0</v>
      </c>
      <c r="H328" s="9">
        <v>30000</v>
      </c>
      <c r="I328" s="10">
        <v>1</v>
      </c>
      <c r="J328" s="9">
        <v>30000</v>
      </c>
      <c r="K328" s="9">
        <v>1481.9190323336989</v>
      </c>
      <c r="L328" s="10">
        <v>6</v>
      </c>
      <c r="M328" s="10">
        <v>0</v>
      </c>
      <c r="N328" s="9">
        <v>0</v>
      </c>
      <c r="O328" s="9">
        <f t="shared" si="2"/>
        <v>750</v>
      </c>
      <c r="P328" s="9">
        <f t="shared" si="3"/>
        <v>600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spans="1:42" ht="13.2" x14ac:dyDescent="0.25">
      <c r="A329" s="3" t="s">
        <v>202</v>
      </c>
      <c r="B329" s="7">
        <v>44136</v>
      </c>
      <c r="C329" s="3" t="s">
        <v>36</v>
      </c>
      <c r="D329" s="8">
        <v>8.1620371214001128</v>
      </c>
      <c r="E329" s="8">
        <v>60</v>
      </c>
      <c r="F329" s="9">
        <v>218467.42669093452</v>
      </c>
      <c r="G329" s="10">
        <v>1</v>
      </c>
      <c r="H329" s="9">
        <v>300000</v>
      </c>
      <c r="I329" s="10">
        <v>1</v>
      </c>
      <c r="J329" s="9">
        <v>300000</v>
      </c>
      <c r="K329" s="9">
        <v>22449.873488798137</v>
      </c>
      <c r="L329" s="10">
        <v>6</v>
      </c>
      <c r="M329" s="10">
        <v>1</v>
      </c>
      <c r="N329" s="9">
        <v>234321</v>
      </c>
      <c r="O329" s="9">
        <f t="shared" si="2"/>
        <v>7500</v>
      </c>
      <c r="P329" s="9">
        <f t="shared" si="3"/>
        <v>6000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1:42" ht="13.2" x14ac:dyDescent="0.25">
      <c r="A330" s="3" t="s">
        <v>246</v>
      </c>
      <c r="B330" s="7">
        <v>44136</v>
      </c>
      <c r="C330" s="3" t="s">
        <v>36</v>
      </c>
      <c r="D330" s="8">
        <v>12.591305019253515</v>
      </c>
      <c r="E330" s="8">
        <v>60</v>
      </c>
      <c r="F330" s="9">
        <v>59674.366776205032</v>
      </c>
      <c r="G330" s="10">
        <v>1</v>
      </c>
      <c r="H330" s="9">
        <v>80000</v>
      </c>
      <c r="I330" s="10">
        <v>0</v>
      </c>
      <c r="J330" s="9">
        <v>0</v>
      </c>
      <c r="K330" s="9">
        <v>0</v>
      </c>
      <c r="L330" s="10">
        <v>0</v>
      </c>
      <c r="M330" s="10">
        <v>0</v>
      </c>
      <c r="N330" s="9">
        <v>0</v>
      </c>
      <c r="O330" s="9">
        <f t="shared" si="2"/>
        <v>0</v>
      </c>
      <c r="P330" s="9">
        <f t="shared" si="3"/>
        <v>0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spans="1:42" ht="13.2" x14ac:dyDescent="0.25">
      <c r="A331" s="3" t="s">
        <v>247</v>
      </c>
      <c r="B331" s="7">
        <v>44136</v>
      </c>
      <c r="C331" s="3" t="s">
        <v>39</v>
      </c>
      <c r="D331" s="8">
        <v>24.084591195546789</v>
      </c>
      <c r="E331" s="8">
        <v>83.588036984549987</v>
      </c>
      <c r="F331" s="9">
        <v>6556.5499499862026</v>
      </c>
      <c r="G331" s="10">
        <v>1</v>
      </c>
      <c r="H331" s="9">
        <v>10000</v>
      </c>
      <c r="I331" s="10">
        <v>0</v>
      </c>
      <c r="J331" s="9">
        <v>0</v>
      </c>
      <c r="K331" s="9">
        <v>0</v>
      </c>
      <c r="L331" s="10">
        <v>0</v>
      </c>
      <c r="M331" s="10">
        <v>0</v>
      </c>
      <c r="N331" s="9">
        <v>0</v>
      </c>
      <c r="O331" s="9">
        <f t="shared" si="2"/>
        <v>0</v>
      </c>
      <c r="P331" s="9">
        <f t="shared" si="3"/>
        <v>0</v>
      </c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spans="1:42" ht="13.2" x14ac:dyDescent="0.25">
      <c r="A332" s="3" t="s">
        <v>248</v>
      </c>
      <c r="B332" s="7">
        <v>44136</v>
      </c>
      <c r="C332" s="3" t="s">
        <v>36</v>
      </c>
      <c r="D332" s="8">
        <v>31.502260638997189</v>
      </c>
      <c r="E332" s="8">
        <v>128.47047086773361</v>
      </c>
      <c r="F332" s="9">
        <v>1566763.4777343338</v>
      </c>
      <c r="G332" s="10">
        <v>-1</v>
      </c>
      <c r="H332" s="9">
        <v>1510000</v>
      </c>
      <c r="I332" s="10">
        <v>0</v>
      </c>
      <c r="J332" s="9">
        <v>0</v>
      </c>
      <c r="K332" s="9">
        <v>0</v>
      </c>
      <c r="L332" s="10">
        <v>0</v>
      </c>
      <c r="M332" s="10">
        <v>0</v>
      </c>
      <c r="N332" s="9">
        <v>0</v>
      </c>
      <c r="O332" s="9">
        <f t="shared" si="2"/>
        <v>0</v>
      </c>
      <c r="P332" s="9">
        <f t="shared" si="3"/>
        <v>0</v>
      </c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spans="1:42" ht="13.2" x14ac:dyDescent="0.25">
      <c r="A333" s="3" t="s">
        <v>200</v>
      </c>
      <c r="B333" s="7">
        <v>44136</v>
      </c>
      <c r="C333" s="3" t="s">
        <v>39</v>
      </c>
      <c r="D333" s="8">
        <v>76.44945257258405</v>
      </c>
      <c r="E333" s="8">
        <v>159.72303172145797</v>
      </c>
      <c r="F333" s="9">
        <v>454880.83446257096</v>
      </c>
      <c r="G333" s="10">
        <v>1</v>
      </c>
      <c r="H333" s="9">
        <v>660000</v>
      </c>
      <c r="I333" s="10">
        <v>1</v>
      </c>
      <c r="J333" s="9">
        <v>660000</v>
      </c>
      <c r="K333" s="9">
        <v>84416.376991679499</v>
      </c>
      <c r="L333" s="10">
        <v>6</v>
      </c>
      <c r="M333" s="10">
        <v>0</v>
      </c>
      <c r="N333" s="9">
        <v>0</v>
      </c>
      <c r="O333" s="9">
        <f t="shared" si="2"/>
        <v>16500</v>
      </c>
      <c r="P333" s="9">
        <f t="shared" si="3"/>
        <v>13200</v>
      </c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42" ht="13.2" x14ac:dyDescent="0.25">
      <c r="A334" s="3" t="s">
        <v>249</v>
      </c>
      <c r="B334" s="7">
        <v>44136</v>
      </c>
      <c r="C334" s="3" t="s">
        <v>36</v>
      </c>
      <c r="D334" s="8">
        <v>21.330408459967224</v>
      </c>
      <c r="E334" s="8">
        <v>166.42263564950991</v>
      </c>
      <c r="F334" s="9">
        <v>109807.19297632191</v>
      </c>
      <c r="G334" s="10">
        <v>-1</v>
      </c>
      <c r="H334" s="9">
        <v>110000</v>
      </c>
      <c r="I334" s="10">
        <v>0</v>
      </c>
      <c r="J334" s="9">
        <v>0</v>
      </c>
      <c r="K334" s="9">
        <v>0</v>
      </c>
      <c r="L334" s="10">
        <v>0</v>
      </c>
      <c r="M334" s="10">
        <v>0</v>
      </c>
      <c r="N334" s="9">
        <v>0</v>
      </c>
      <c r="O334" s="9">
        <f t="shared" si="2"/>
        <v>0</v>
      </c>
      <c r="P334" s="9">
        <f t="shared" si="3"/>
        <v>0</v>
      </c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spans="1:42" ht="13.2" x14ac:dyDescent="0.25">
      <c r="A335" s="3" t="s">
        <v>250</v>
      </c>
      <c r="B335" s="7">
        <v>44136</v>
      </c>
      <c r="C335" s="3" t="s">
        <v>39</v>
      </c>
      <c r="D335" s="8">
        <v>88.390118960988062</v>
      </c>
      <c r="E335" s="8">
        <v>297.0846750996734</v>
      </c>
      <c r="F335" s="9">
        <v>424040.28469749284</v>
      </c>
      <c r="G335" s="10">
        <v>-1</v>
      </c>
      <c r="H335" s="9">
        <v>280000</v>
      </c>
      <c r="I335" s="10">
        <v>1</v>
      </c>
      <c r="J335" s="9">
        <v>280000</v>
      </c>
      <c r="K335" s="9">
        <v>20060.951460562992</v>
      </c>
      <c r="L335" s="10">
        <v>6</v>
      </c>
      <c r="M335" s="10">
        <v>1</v>
      </c>
      <c r="N335" s="9">
        <v>113246.3736012015</v>
      </c>
      <c r="O335" s="9">
        <f t="shared" si="2"/>
        <v>7000</v>
      </c>
      <c r="P335" s="9">
        <f t="shared" si="3"/>
        <v>5600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spans="1:42" ht="13.2" x14ac:dyDescent="0.25">
      <c r="A336" s="3" t="s">
        <v>251</v>
      </c>
      <c r="B336" s="7">
        <v>44136</v>
      </c>
      <c r="C336" s="3" t="s">
        <v>39</v>
      </c>
      <c r="D336" s="8">
        <v>13.211317203986216</v>
      </c>
      <c r="E336" s="8">
        <v>338.9884512788442</v>
      </c>
      <c r="F336" s="9">
        <v>922.59307740401857</v>
      </c>
      <c r="G336" s="10">
        <v>1</v>
      </c>
      <c r="H336" s="9">
        <v>909.09090909090912</v>
      </c>
      <c r="I336" s="10">
        <v>0</v>
      </c>
      <c r="J336" s="9">
        <v>0</v>
      </c>
      <c r="K336" s="9">
        <v>0</v>
      </c>
      <c r="L336" s="10">
        <v>0</v>
      </c>
      <c r="M336" s="10">
        <v>0</v>
      </c>
      <c r="N336" s="9">
        <v>0</v>
      </c>
      <c r="O336" s="9">
        <f t="shared" si="2"/>
        <v>0</v>
      </c>
      <c r="P336" s="9">
        <f t="shared" si="3"/>
        <v>0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spans="1:42" ht="13.2" x14ac:dyDescent="0.25">
      <c r="A337" s="3" t="s">
        <v>175</v>
      </c>
      <c r="B337" s="7">
        <v>44136</v>
      </c>
      <c r="C337" s="3" t="s">
        <v>36</v>
      </c>
      <c r="D337" s="8">
        <v>30.9662541469758</v>
      </c>
      <c r="E337" s="8">
        <v>186.81650149327183</v>
      </c>
      <c r="F337" s="9">
        <v>663798.53074824624</v>
      </c>
      <c r="G337" s="10">
        <v>1</v>
      </c>
      <c r="H337" s="9">
        <v>440000</v>
      </c>
      <c r="I337" s="10">
        <v>1</v>
      </c>
      <c r="J337" s="9">
        <v>440000</v>
      </c>
      <c r="K337" s="9">
        <v>50295.774355887865</v>
      </c>
      <c r="L337" s="10">
        <v>6</v>
      </c>
      <c r="M337" s="10">
        <v>0</v>
      </c>
      <c r="N337" s="9">
        <v>0</v>
      </c>
      <c r="O337" s="9">
        <f t="shared" si="2"/>
        <v>11000</v>
      </c>
      <c r="P337" s="9">
        <f t="shared" si="3"/>
        <v>8800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42" ht="13.2" x14ac:dyDescent="0.25">
      <c r="A338" s="3" t="s">
        <v>190</v>
      </c>
      <c r="B338" s="7">
        <v>44166</v>
      </c>
      <c r="C338" s="3" t="s">
        <v>39</v>
      </c>
      <c r="D338" s="8">
        <v>18.502164321276112</v>
      </c>
      <c r="E338" s="8">
        <v>97.498953754705013</v>
      </c>
      <c r="F338" s="9">
        <v>7342.8194249027865</v>
      </c>
      <c r="G338" s="10">
        <v>-1</v>
      </c>
      <c r="H338" s="9">
        <v>10000</v>
      </c>
      <c r="I338" s="10">
        <v>1</v>
      </c>
      <c r="J338" s="9">
        <v>10000</v>
      </c>
      <c r="K338" s="9">
        <v>1139.0096550147432</v>
      </c>
      <c r="L338" s="10">
        <v>6</v>
      </c>
      <c r="M338" s="10">
        <v>0</v>
      </c>
      <c r="N338" s="9">
        <v>0</v>
      </c>
      <c r="O338" s="9">
        <f t="shared" si="2"/>
        <v>250</v>
      </c>
      <c r="P338" s="9">
        <f t="shared" si="3"/>
        <v>200</v>
      </c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spans="1:42" ht="13.2" x14ac:dyDescent="0.25">
      <c r="A339" s="3" t="s">
        <v>69</v>
      </c>
      <c r="B339" s="7">
        <v>44166</v>
      </c>
      <c r="C339" s="3" t="s">
        <v>36</v>
      </c>
      <c r="D339" s="8">
        <v>21.112759834579027</v>
      </c>
      <c r="E339" s="8">
        <v>201.51278231649266</v>
      </c>
      <c r="F339" s="9">
        <v>175722.79098826475</v>
      </c>
      <c r="G339" s="10">
        <v>1</v>
      </c>
      <c r="H339" s="9">
        <v>258000</v>
      </c>
      <c r="I339" s="10">
        <v>1</v>
      </c>
      <c r="J339" s="9">
        <v>258000</v>
      </c>
      <c r="K339" s="9">
        <v>27035.318415289639</v>
      </c>
      <c r="L339" s="10">
        <v>6</v>
      </c>
      <c r="M339" s="10">
        <v>0</v>
      </c>
      <c r="N339" s="9">
        <v>0</v>
      </c>
      <c r="O339" s="9">
        <f t="shared" si="2"/>
        <v>6450</v>
      </c>
      <c r="P339" s="9">
        <f t="shared" si="3"/>
        <v>5160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spans="1:42" ht="13.2" x14ac:dyDescent="0.25">
      <c r="A340" s="3" t="s">
        <v>252</v>
      </c>
      <c r="B340" s="7">
        <v>44166</v>
      </c>
      <c r="C340" s="3" t="s">
        <v>39</v>
      </c>
      <c r="D340" s="8">
        <v>82.419736678057717</v>
      </c>
      <c r="E340" s="8">
        <v>60</v>
      </c>
      <c r="F340" s="9">
        <v>1128952.7532713306</v>
      </c>
      <c r="G340" s="10">
        <v>0</v>
      </c>
      <c r="H340" s="9">
        <v>990000</v>
      </c>
      <c r="I340" s="10">
        <v>1</v>
      </c>
      <c r="J340" s="9">
        <v>990000</v>
      </c>
      <c r="K340" s="9">
        <v>28268.947572096185</v>
      </c>
      <c r="L340" s="10">
        <v>6</v>
      </c>
      <c r="M340" s="10">
        <v>0</v>
      </c>
      <c r="N340" s="9">
        <v>0</v>
      </c>
      <c r="O340" s="9">
        <f t="shared" si="2"/>
        <v>24750</v>
      </c>
      <c r="P340" s="9">
        <f t="shared" si="3"/>
        <v>19800</v>
      </c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spans="1:42" ht="13.2" x14ac:dyDescent="0.25">
      <c r="A341" s="3" t="s">
        <v>253</v>
      </c>
      <c r="B341" s="7">
        <v>44166</v>
      </c>
      <c r="C341" s="3" t="s">
        <v>36</v>
      </c>
      <c r="D341" s="8">
        <v>28.517999571366367</v>
      </c>
      <c r="E341" s="8">
        <v>275.61307941854676</v>
      </c>
      <c r="F341" s="9">
        <v>29759.028666668484</v>
      </c>
      <c r="G341" s="10">
        <v>0</v>
      </c>
      <c r="H341" s="9">
        <v>20000</v>
      </c>
      <c r="I341" s="10">
        <v>1</v>
      </c>
      <c r="J341" s="9">
        <v>20000</v>
      </c>
      <c r="K341" s="9">
        <v>1706.3578864929718</v>
      </c>
      <c r="L341" s="10">
        <v>6</v>
      </c>
      <c r="M341" s="10">
        <v>0</v>
      </c>
      <c r="N341" s="9">
        <v>0</v>
      </c>
      <c r="O341" s="9">
        <f t="shared" si="2"/>
        <v>500</v>
      </c>
      <c r="P341" s="9">
        <f t="shared" si="3"/>
        <v>400</v>
      </c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42" ht="13.2" x14ac:dyDescent="0.25">
      <c r="A342" s="3" t="s">
        <v>148</v>
      </c>
      <c r="B342" s="7">
        <v>44166</v>
      </c>
      <c r="C342" s="3" t="s">
        <v>36</v>
      </c>
      <c r="D342" s="8">
        <v>36.210477399287569</v>
      </c>
      <c r="E342" s="8">
        <v>181.27183308639138</v>
      </c>
      <c r="F342" s="9">
        <v>165144.89322684545</v>
      </c>
      <c r="G342" s="10">
        <v>1</v>
      </c>
      <c r="H342" s="9">
        <v>180000</v>
      </c>
      <c r="I342" s="10">
        <v>1</v>
      </c>
      <c r="J342" s="9">
        <v>180000</v>
      </c>
      <c r="K342" s="9">
        <v>14434.355354530388</v>
      </c>
      <c r="L342" s="10">
        <v>6</v>
      </c>
      <c r="M342" s="10">
        <v>0</v>
      </c>
      <c r="N342" s="9">
        <v>0</v>
      </c>
      <c r="O342" s="9">
        <f t="shared" si="2"/>
        <v>4500</v>
      </c>
      <c r="P342" s="9">
        <f t="shared" si="3"/>
        <v>3600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spans="1:42" ht="13.2" x14ac:dyDescent="0.25">
      <c r="A343" s="3" t="s">
        <v>136</v>
      </c>
      <c r="B343" s="7">
        <v>44166</v>
      </c>
      <c r="C343" s="3" t="s">
        <v>63</v>
      </c>
      <c r="D343" s="8">
        <v>105.68114020061661</v>
      </c>
      <c r="E343" s="8">
        <v>257.26297716643194</v>
      </c>
      <c r="F343" s="9">
        <v>347097.68211050675</v>
      </c>
      <c r="G343" s="10">
        <v>1</v>
      </c>
      <c r="H343" s="9">
        <v>230000</v>
      </c>
      <c r="I343" s="10">
        <v>1</v>
      </c>
      <c r="J343" s="9">
        <v>230000</v>
      </c>
      <c r="K343" s="9">
        <v>28246.939787004201</v>
      </c>
      <c r="L343" s="10">
        <v>13</v>
      </c>
      <c r="M343" s="10">
        <v>0</v>
      </c>
      <c r="N343" s="9">
        <v>0</v>
      </c>
      <c r="O343" s="9">
        <f t="shared" si="2"/>
        <v>5750</v>
      </c>
      <c r="P343" s="9">
        <f t="shared" si="3"/>
        <v>4600</v>
      </c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spans="1:42" ht="13.2" x14ac:dyDescent="0.25">
      <c r="A344" s="3" t="s">
        <v>254</v>
      </c>
      <c r="B344" s="7">
        <v>44166</v>
      </c>
      <c r="C344" s="3" t="s">
        <v>36</v>
      </c>
      <c r="D344" s="8">
        <v>37.392550232717042</v>
      </c>
      <c r="E344" s="8">
        <v>170.31734099344192</v>
      </c>
      <c r="F344" s="9">
        <v>429963.81968590186</v>
      </c>
      <c r="G344" s="10">
        <v>0</v>
      </c>
      <c r="H344" s="9">
        <v>350000</v>
      </c>
      <c r="I344" s="10">
        <v>0</v>
      </c>
      <c r="J344" s="9">
        <v>0</v>
      </c>
      <c r="K344" s="9">
        <v>0</v>
      </c>
      <c r="L344" s="10">
        <v>0</v>
      </c>
      <c r="M344" s="10">
        <v>0</v>
      </c>
      <c r="N344" s="9">
        <v>0</v>
      </c>
      <c r="O344" s="9">
        <f t="shared" si="2"/>
        <v>0</v>
      </c>
      <c r="P344" s="9">
        <f t="shared" si="3"/>
        <v>0</v>
      </c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spans="1:42" ht="13.2" x14ac:dyDescent="0.25">
      <c r="A345" s="3" t="s">
        <v>255</v>
      </c>
      <c r="B345" s="7">
        <v>44166</v>
      </c>
      <c r="C345" s="3" t="s">
        <v>39</v>
      </c>
      <c r="D345" s="8">
        <v>41.041768936676227</v>
      </c>
      <c r="E345" s="8">
        <v>133.60210123870462</v>
      </c>
      <c r="F345" s="9">
        <v>65980.681894390596</v>
      </c>
      <c r="G345" s="10">
        <v>-1</v>
      </c>
      <c r="H345" s="9">
        <v>80000</v>
      </c>
      <c r="I345" s="10">
        <v>0</v>
      </c>
      <c r="J345" s="9">
        <v>0</v>
      </c>
      <c r="K345" s="9">
        <v>0</v>
      </c>
      <c r="L345" s="10">
        <v>0</v>
      </c>
      <c r="M345" s="10">
        <v>0</v>
      </c>
      <c r="N345" s="9">
        <v>0</v>
      </c>
      <c r="O345" s="9">
        <f t="shared" si="2"/>
        <v>0</v>
      </c>
      <c r="P345" s="9">
        <f t="shared" si="3"/>
        <v>0</v>
      </c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42" ht="13.2" x14ac:dyDescent="0.25">
      <c r="A346" s="3" t="s">
        <v>256</v>
      </c>
      <c r="B346" s="7">
        <v>44166</v>
      </c>
      <c r="C346" s="3" t="s">
        <v>36</v>
      </c>
      <c r="D346" s="8">
        <v>3</v>
      </c>
      <c r="E346" s="8">
        <v>296.90357383897629</v>
      </c>
      <c r="F346" s="9">
        <v>7492.9952125336622</v>
      </c>
      <c r="G346" s="10">
        <v>1</v>
      </c>
      <c r="H346" s="9">
        <v>10000</v>
      </c>
      <c r="I346" s="10">
        <v>0</v>
      </c>
      <c r="J346" s="9">
        <v>0</v>
      </c>
      <c r="K346" s="9">
        <v>0</v>
      </c>
      <c r="L346" s="10">
        <v>0</v>
      </c>
      <c r="M346" s="10">
        <v>0</v>
      </c>
      <c r="N346" s="9">
        <v>0</v>
      </c>
      <c r="O346" s="9">
        <f t="shared" si="2"/>
        <v>0</v>
      </c>
      <c r="P346" s="9">
        <f t="shared" si="3"/>
        <v>0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spans="1:42" ht="13.2" x14ac:dyDescent="0.25">
      <c r="A347" s="3" t="s">
        <v>37</v>
      </c>
      <c r="B347" s="7">
        <v>44166</v>
      </c>
      <c r="C347" s="3" t="s">
        <v>36</v>
      </c>
      <c r="D347" s="8">
        <v>86.444802889120709</v>
      </c>
      <c r="E347" s="8">
        <v>60</v>
      </c>
      <c r="F347" s="9">
        <v>96093.78722738431</v>
      </c>
      <c r="G347" s="10">
        <v>0</v>
      </c>
      <c r="H347" s="9">
        <v>80000</v>
      </c>
      <c r="I347" s="10">
        <v>1</v>
      </c>
      <c r="J347" s="9">
        <v>80000</v>
      </c>
      <c r="K347" s="9">
        <v>6690.1325485165298</v>
      </c>
      <c r="L347" s="10">
        <v>8</v>
      </c>
      <c r="M347" s="10">
        <v>0</v>
      </c>
      <c r="N347" s="9">
        <v>0</v>
      </c>
      <c r="O347" s="9">
        <f t="shared" si="2"/>
        <v>2000</v>
      </c>
      <c r="P347" s="9">
        <f t="shared" si="3"/>
        <v>1600</v>
      </c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spans="1:42" ht="13.2" x14ac:dyDescent="0.25">
      <c r="A348" s="3" t="s">
        <v>257</v>
      </c>
      <c r="B348" s="7">
        <v>44166</v>
      </c>
      <c r="C348" s="3" t="s">
        <v>39</v>
      </c>
      <c r="D348" s="8">
        <v>29.610046082943008</v>
      </c>
      <c r="E348" s="8">
        <v>359.06584854919998</v>
      </c>
      <c r="F348" s="9">
        <v>30149.298487084965</v>
      </c>
      <c r="G348" s="10">
        <v>1</v>
      </c>
      <c r="H348" s="9">
        <v>20000</v>
      </c>
      <c r="I348" s="10">
        <v>1</v>
      </c>
      <c r="J348" s="9">
        <v>20000</v>
      </c>
      <c r="K348" s="9">
        <v>338.58754183973508</v>
      </c>
      <c r="L348" s="10">
        <v>9</v>
      </c>
      <c r="M348" s="10">
        <v>0</v>
      </c>
      <c r="N348" s="9">
        <v>0</v>
      </c>
      <c r="O348" s="9">
        <f t="shared" si="2"/>
        <v>500</v>
      </c>
      <c r="P348" s="9">
        <f t="shared" si="3"/>
        <v>400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spans="1:42" ht="13.2" x14ac:dyDescent="0.25">
      <c r="A349" s="3" t="s">
        <v>178</v>
      </c>
      <c r="B349" s="7">
        <v>44166</v>
      </c>
      <c r="C349" s="3" t="s">
        <v>39</v>
      </c>
      <c r="D349" s="8">
        <v>105.90958996361012</v>
      </c>
      <c r="E349" s="8">
        <v>60</v>
      </c>
      <c r="F349" s="9">
        <v>354446.15412014455</v>
      </c>
      <c r="G349" s="10">
        <v>-1</v>
      </c>
      <c r="H349" s="9">
        <v>300000</v>
      </c>
      <c r="I349" s="10">
        <v>0</v>
      </c>
      <c r="J349" s="9">
        <v>0</v>
      </c>
      <c r="K349" s="9">
        <v>0</v>
      </c>
      <c r="L349" s="10">
        <v>0</v>
      </c>
      <c r="M349" s="10">
        <v>0</v>
      </c>
      <c r="N349" s="9">
        <v>0</v>
      </c>
      <c r="O349" s="9">
        <f t="shared" si="2"/>
        <v>0</v>
      </c>
      <c r="P349" s="9">
        <f t="shared" si="3"/>
        <v>0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spans="1:42" ht="13.2" x14ac:dyDescent="0.25">
      <c r="A350" s="3" t="s">
        <v>180</v>
      </c>
      <c r="B350" s="7">
        <v>44166</v>
      </c>
      <c r="C350" s="3" t="s">
        <v>36</v>
      </c>
      <c r="D350" s="8">
        <v>25.295239733081694</v>
      </c>
      <c r="E350" s="8">
        <v>333.27060223843887</v>
      </c>
      <c r="F350" s="9">
        <v>1880729.6251718665</v>
      </c>
      <c r="G350" s="10">
        <v>-1</v>
      </c>
      <c r="H350" s="9">
        <v>1570000</v>
      </c>
      <c r="I350" s="10">
        <v>1</v>
      </c>
      <c r="J350" s="9">
        <v>1570000</v>
      </c>
      <c r="K350" s="9">
        <v>130923.51711440085</v>
      </c>
      <c r="L350" s="10">
        <v>7</v>
      </c>
      <c r="M350" s="10">
        <v>0</v>
      </c>
      <c r="N350" s="9">
        <v>0</v>
      </c>
      <c r="O350" s="9">
        <f t="shared" si="2"/>
        <v>39250</v>
      </c>
      <c r="P350" s="9">
        <f t="shared" si="3"/>
        <v>31400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spans="1:42" ht="13.2" x14ac:dyDescent="0.25">
      <c r="A351" s="3" t="s">
        <v>258</v>
      </c>
      <c r="B351" s="7">
        <v>44166</v>
      </c>
      <c r="C351" s="3" t="s">
        <v>36</v>
      </c>
      <c r="D351" s="8">
        <v>65.050429001893889</v>
      </c>
      <c r="E351" s="8">
        <v>60</v>
      </c>
      <c r="F351" s="9">
        <v>79199.204480443324</v>
      </c>
      <c r="G351" s="10">
        <v>1</v>
      </c>
      <c r="H351" s="9">
        <v>150000</v>
      </c>
      <c r="I351" s="10">
        <v>0</v>
      </c>
      <c r="J351" s="9">
        <v>0</v>
      </c>
      <c r="K351" s="9">
        <v>0</v>
      </c>
      <c r="L351" s="10">
        <v>0</v>
      </c>
      <c r="M351" s="10">
        <v>0</v>
      </c>
      <c r="N351" s="9">
        <v>0</v>
      </c>
      <c r="O351" s="9">
        <f t="shared" si="2"/>
        <v>0</v>
      </c>
      <c r="P351" s="9">
        <f t="shared" si="3"/>
        <v>0</v>
      </c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spans="1:42" ht="13.2" x14ac:dyDescent="0.25">
      <c r="A352" s="3" t="s">
        <v>196</v>
      </c>
      <c r="B352" s="7">
        <v>44166</v>
      </c>
      <c r="C352" s="3" t="s">
        <v>36</v>
      </c>
      <c r="D352" s="8">
        <v>50.774747816829965</v>
      </c>
      <c r="E352" s="8">
        <v>142.275739630012</v>
      </c>
      <c r="F352" s="9">
        <v>14604.056381900347</v>
      </c>
      <c r="G352" s="10">
        <v>0</v>
      </c>
      <c r="H352" s="9">
        <v>10000</v>
      </c>
      <c r="I352" s="10">
        <v>1</v>
      </c>
      <c r="J352" s="9">
        <v>10000</v>
      </c>
      <c r="K352" s="9">
        <v>603.85753655765188</v>
      </c>
      <c r="L352" s="10">
        <v>6</v>
      </c>
      <c r="M352" s="10">
        <v>0</v>
      </c>
      <c r="N352" s="9">
        <v>0</v>
      </c>
      <c r="O352" s="9">
        <f t="shared" si="2"/>
        <v>250</v>
      </c>
      <c r="P352" s="9">
        <f t="shared" si="3"/>
        <v>200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spans="1:42" ht="13.2" x14ac:dyDescent="0.25">
      <c r="A353" s="3" t="s">
        <v>152</v>
      </c>
      <c r="B353" s="7">
        <v>44166</v>
      </c>
      <c r="C353" s="3" t="s">
        <v>36</v>
      </c>
      <c r="D353" s="8">
        <v>22.328705550872709</v>
      </c>
      <c r="E353" s="8">
        <v>144.94446867902602</v>
      </c>
      <c r="F353" s="9">
        <v>113142.99620936843</v>
      </c>
      <c r="G353" s="10">
        <v>-1</v>
      </c>
      <c r="H353" s="9">
        <v>150000</v>
      </c>
      <c r="I353" s="10">
        <v>0</v>
      </c>
      <c r="J353" s="9">
        <v>0</v>
      </c>
      <c r="K353" s="9">
        <v>0</v>
      </c>
      <c r="L353" s="10">
        <v>0</v>
      </c>
      <c r="M353" s="10">
        <v>0</v>
      </c>
      <c r="N353" s="9">
        <v>0</v>
      </c>
      <c r="O353" s="9">
        <f t="shared" si="2"/>
        <v>0</v>
      </c>
      <c r="P353" s="9">
        <f t="shared" si="3"/>
        <v>0</v>
      </c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spans="1:42" ht="13.2" x14ac:dyDescent="0.25">
      <c r="A354" s="3" t="s">
        <v>259</v>
      </c>
      <c r="B354" s="7">
        <v>44166</v>
      </c>
      <c r="C354" s="3" t="s">
        <v>36</v>
      </c>
      <c r="D354" s="8">
        <v>3</v>
      </c>
      <c r="E354" s="8">
        <v>60</v>
      </c>
      <c r="F354" s="9">
        <v>5311.5062988314266</v>
      </c>
      <c r="G354" s="10">
        <v>-1</v>
      </c>
      <c r="H354" s="9">
        <v>10000</v>
      </c>
      <c r="I354" s="10">
        <v>0</v>
      </c>
      <c r="J354" s="9">
        <v>0</v>
      </c>
      <c r="K354" s="9">
        <v>0</v>
      </c>
      <c r="L354" s="10">
        <v>0</v>
      </c>
      <c r="M354" s="10">
        <v>0</v>
      </c>
      <c r="N354" s="9">
        <v>0</v>
      </c>
      <c r="O354" s="9">
        <f t="shared" si="2"/>
        <v>0</v>
      </c>
      <c r="P354" s="9">
        <f t="shared" si="3"/>
        <v>0</v>
      </c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spans="1:42" ht="13.2" x14ac:dyDescent="0.25">
      <c r="A355" s="3" t="s">
        <v>200</v>
      </c>
      <c r="B355" s="7">
        <v>44166</v>
      </c>
      <c r="C355" s="3" t="s">
        <v>39</v>
      </c>
      <c r="D355" s="8">
        <v>73.476244074265011</v>
      </c>
      <c r="E355" s="8">
        <v>60</v>
      </c>
      <c r="F355" s="9">
        <v>290659.35708909907</v>
      </c>
      <c r="G355" s="10">
        <v>0</v>
      </c>
      <c r="H355" s="9">
        <v>490000</v>
      </c>
      <c r="I355" s="10">
        <v>0</v>
      </c>
      <c r="J355" s="9">
        <v>0</v>
      </c>
      <c r="K355" s="9">
        <v>0</v>
      </c>
      <c r="L355" s="10">
        <v>0</v>
      </c>
      <c r="M355" s="10">
        <v>0</v>
      </c>
      <c r="N355" s="9">
        <v>0</v>
      </c>
      <c r="O355" s="9">
        <f t="shared" si="2"/>
        <v>0</v>
      </c>
      <c r="P355" s="9">
        <f t="shared" si="3"/>
        <v>0</v>
      </c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spans="1:42" ht="13.2" x14ac:dyDescent="0.25">
      <c r="A356" s="3" t="s">
        <v>182</v>
      </c>
      <c r="B356" s="7">
        <v>44166</v>
      </c>
      <c r="C356" s="3" t="s">
        <v>36</v>
      </c>
      <c r="D356" s="8">
        <v>3.5532887025253039</v>
      </c>
      <c r="E356" s="8">
        <v>130.18830647741703</v>
      </c>
      <c r="F356" s="9">
        <v>6263.060380240111</v>
      </c>
      <c r="G356" s="10">
        <v>0</v>
      </c>
      <c r="H356" s="9">
        <v>10000</v>
      </c>
      <c r="I356" s="10">
        <v>0</v>
      </c>
      <c r="J356" s="9">
        <v>0</v>
      </c>
      <c r="K356" s="9">
        <v>0</v>
      </c>
      <c r="L356" s="10">
        <v>0</v>
      </c>
      <c r="M356" s="10">
        <v>0</v>
      </c>
      <c r="N356" s="9">
        <v>0</v>
      </c>
      <c r="O356" s="9">
        <f t="shared" si="2"/>
        <v>0</v>
      </c>
      <c r="P356" s="9">
        <f t="shared" si="3"/>
        <v>0</v>
      </c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spans="1:42" ht="13.2" x14ac:dyDescent="0.25">
      <c r="A357" s="3" t="s">
        <v>208</v>
      </c>
      <c r="B357" s="7">
        <v>44166</v>
      </c>
      <c r="C357" s="3" t="s">
        <v>36</v>
      </c>
      <c r="D357" s="8">
        <v>3</v>
      </c>
      <c r="E357" s="8">
        <v>302.86051932466307</v>
      </c>
      <c r="F357" s="9">
        <v>11917.825845174537</v>
      </c>
      <c r="G357" s="10">
        <v>0</v>
      </c>
      <c r="H357" s="9">
        <v>10000</v>
      </c>
      <c r="I357" s="10">
        <v>0</v>
      </c>
      <c r="J357" s="9">
        <v>0</v>
      </c>
      <c r="K357" s="9">
        <v>0</v>
      </c>
      <c r="L357" s="10">
        <v>0</v>
      </c>
      <c r="M357" s="10">
        <v>0</v>
      </c>
      <c r="N357" s="9">
        <v>0</v>
      </c>
      <c r="O357" s="9">
        <f t="shared" si="2"/>
        <v>0</v>
      </c>
      <c r="P357" s="9">
        <f t="shared" si="3"/>
        <v>0</v>
      </c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spans="1:42" ht="13.2" x14ac:dyDescent="0.25">
      <c r="A358" s="3" t="s">
        <v>236</v>
      </c>
      <c r="B358" s="7">
        <v>44166</v>
      </c>
      <c r="C358" s="3" t="s">
        <v>36</v>
      </c>
      <c r="D358" s="8">
        <v>3</v>
      </c>
      <c r="E358" s="8">
        <v>60</v>
      </c>
      <c r="F358" s="9">
        <v>5684.8764846169788</v>
      </c>
      <c r="G358" s="10">
        <v>0</v>
      </c>
      <c r="H358" s="9">
        <v>10000</v>
      </c>
      <c r="I358" s="10">
        <v>0</v>
      </c>
      <c r="J358" s="9">
        <v>0</v>
      </c>
      <c r="K358" s="9">
        <v>0</v>
      </c>
      <c r="L358" s="10">
        <v>0</v>
      </c>
      <c r="M358" s="10">
        <v>0</v>
      </c>
      <c r="N358" s="9">
        <v>0</v>
      </c>
      <c r="O358" s="9">
        <f t="shared" si="2"/>
        <v>0</v>
      </c>
      <c r="P358" s="9">
        <f t="shared" si="3"/>
        <v>0</v>
      </c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spans="1:42" ht="13.2" x14ac:dyDescent="0.25">
      <c r="A359" s="3" t="s">
        <v>248</v>
      </c>
      <c r="B359" s="7">
        <v>44166</v>
      </c>
      <c r="C359" s="3" t="s">
        <v>36</v>
      </c>
      <c r="D359" s="8">
        <v>38.495511698208787</v>
      </c>
      <c r="E359" s="8">
        <v>187.37217565297323</v>
      </c>
      <c r="F359" s="9">
        <v>166813.96623926357</v>
      </c>
      <c r="G359" s="10">
        <v>-1</v>
      </c>
      <c r="H359" s="9">
        <v>163000</v>
      </c>
      <c r="I359" s="10">
        <v>1</v>
      </c>
      <c r="J359" s="9">
        <v>163000</v>
      </c>
      <c r="K359" s="9">
        <v>33444.815451614872</v>
      </c>
      <c r="L359" s="10">
        <v>15</v>
      </c>
      <c r="M359" s="10">
        <v>0</v>
      </c>
      <c r="N359" s="9">
        <v>0</v>
      </c>
      <c r="O359" s="9">
        <f t="shared" si="2"/>
        <v>4075</v>
      </c>
      <c r="P359" s="9">
        <f t="shared" si="3"/>
        <v>3260</v>
      </c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spans="1:42" ht="13.2" x14ac:dyDescent="0.25">
      <c r="A360" s="3" t="s">
        <v>132</v>
      </c>
      <c r="B360" s="7">
        <v>44166</v>
      </c>
      <c r="C360" s="3" t="s">
        <v>36</v>
      </c>
      <c r="D360" s="8">
        <v>82.271477414208462</v>
      </c>
      <c r="E360" s="8">
        <v>168.23564923380829</v>
      </c>
      <c r="F360" s="9">
        <v>106882.60092893902</v>
      </c>
      <c r="G360" s="10">
        <v>1</v>
      </c>
      <c r="H360" s="9">
        <v>140000</v>
      </c>
      <c r="I360" s="10">
        <v>0</v>
      </c>
      <c r="J360" s="9">
        <v>0</v>
      </c>
      <c r="K360" s="9">
        <v>0</v>
      </c>
      <c r="L360" s="10">
        <v>0</v>
      </c>
      <c r="M360" s="10">
        <v>0</v>
      </c>
      <c r="N360" s="9">
        <v>0</v>
      </c>
      <c r="O360" s="9">
        <f t="shared" si="2"/>
        <v>0</v>
      </c>
      <c r="P360" s="9">
        <f t="shared" si="3"/>
        <v>0</v>
      </c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spans="1:42" ht="13.2" x14ac:dyDescent="0.25">
      <c r="A361" s="3" t="s">
        <v>260</v>
      </c>
      <c r="B361" s="7">
        <v>44166</v>
      </c>
      <c r="C361" s="3" t="s">
        <v>36</v>
      </c>
      <c r="D361" s="8">
        <v>3</v>
      </c>
      <c r="E361" s="8">
        <v>308.01487968823193</v>
      </c>
      <c r="F361" s="9">
        <v>15410.831159636191</v>
      </c>
      <c r="G361" s="10">
        <v>0</v>
      </c>
      <c r="H361" s="9">
        <v>10000</v>
      </c>
      <c r="I361" s="10">
        <v>0</v>
      </c>
      <c r="J361" s="9">
        <v>0</v>
      </c>
      <c r="K361" s="9">
        <v>0</v>
      </c>
      <c r="L361" s="10">
        <v>0</v>
      </c>
      <c r="M361" s="10">
        <v>0</v>
      </c>
      <c r="N361" s="9">
        <v>0</v>
      </c>
      <c r="O361" s="9">
        <f t="shared" si="2"/>
        <v>0</v>
      </c>
      <c r="P361" s="9">
        <f t="shared" si="3"/>
        <v>0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spans="1:42" ht="13.2" x14ac:dyDescent="0.25">
      <c r="A362" s="3" t="s">
        <v>261</v>
      </c>
      <c r="B362" s="7">
        <v>44166</v>
      </c>
      <c r="C362" s="3" t="s">
        <v>63</v>
      </c>
      <c r="D362" s="8">
        <v>32.242383348109307</v>
      </c>
      <c r="E362" s="8">
        <v>147.1213683354278</v>
      </c>
      <c r="F362" s="9">
        <v>16158.935736311481</v>
      </c>
      <c r="G362" s="10">
        <v>-1</v>
      </c>
      <c r="H362" s="9">
        <v>20000</v>
      </c>
      <c r="I362" s="10">
        <v>1</v>
      </c>
      <c r="J362" s="9">
        <v>20000</v>
      </c>
      <c r="K362" s="9">
        <v>2190.1183762516198</v>
      </c>
      <c r="L362" s="10">
        <v>5</v>
      </c>
      <c r="M362" s="10">
        <v>0</v>
      </c>
      <c r="N362" s="9">
        <v>0</v>
      </c>
      <c r="O362" s="9">
        <f t="shared" si="2"/>
        <v>500</v>
      </c>
      <c r="P362" s="9">
        <f t="shared" si="3"/>
        <v>400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spans="1:42" ht="13.2" x14ac:dyDescent="0.25">
      <c r="A363" s="3" t="s">
        <v>262</v>
      </c>
      <c r="B363" s="7">
        <v>44166</v>
      </c>
      <c r="C363" s="3" t="s">
        <v>36</v>
      </c>
      <c r="D363" s="8">
        <v>141.39218449748114</v>
      </c>
      <c r="E363" s="8">
        <v>351.43956226791096</v>
      </c>
      <c r="F363" s="9">
        <v>116445.2580453453</v>
      </c>
      <c r="G363" s="10">
        <v>0</v>
      </c>
      <c r="H363" s="9">
        <v>80000</v>
      </c>
      <c r="I363" s="10">
        <v>1</v>
      </c>
      <c r="J363" s="9">
        <v>80000</v>
      </c>
      <c r="K363" s="9">
        <v>7885.4251751578649</v>
      </c>
      <c r="L363" s="10">
        <v>6</v>
      </c>
      <c r="M363" s="10">
        <v>0</v>
      </c>
      <c r="N363" s="9">
        <v>0</v>
      </c>
      <c r="O363" s="9">
        <f t="shared" si="2"/>
        <v>2000</v>
      </c>
      <c r="P363" s="9">
        <f t="shared" si="3"/>
        <v>1600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spans="1:42" ht="13.2" x14ac:dyDescent="0.25">
      <c r="A364" s="3" t="s">
        <v>263</v>
      </c>
      <c r="B364" s="7">
        <v>44166</v>
      </c>
      <c r="C364" s="3" t="s">
        <v>39</v>
      </c>
      <c r="D364" s="8">
        <v>232.66809276820922</v>
      </c>
      <c r="E364" s="8">
        <v>290.51125258827022</v>
      </c>
      <c r="F364" s="9">
        <v>396829.03029950819</v>
      </c>
      <c r="G364" s="10">
        <v>-1</v>
      </c>
      <c r="H364" s="9">
        <v>260000</v>
      </c>
      <c r="I364" s="10">
        <v>0</v>
      </c>
      <c r="J364" s="9">
        <v>0</v>
      </c>
      <c r="K364" s="9">
        <v>0</v>
      </c>
      <c r="L364" s="10">
        <v>0</v>
      </c>
      <c r="M364" s="10">
        <v>0</v>
      </c>
      <c r="N364" s="9">
        <v>0</v>
      </c>
      <c r="O364" s="9">
        <f t="shared" si="2"/>
        <v>0</v>
      </c>
      <c r="P364" s="9">
        <f t="shared" si="3"/>
        <v>0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spans="1:42" ht="13.2" x14ac:dyDescent="0.25">
      <c r="A365" s="3" t="s">
        <v>158</v>
      </c>
      <c r="B365" s="7">
        <v>44166</v>
      </c>
      <c r="C365" s="3" t="s">
        <v>39</v>
      </c>
      <c r="D365" s="8">
        <v>3.4507413665437809</v>
      </c>
      <c r="E365" s="8">
        <v>361.10709420959267</v>
      </c>
      <c r="F365" s="9">
        <v>65649.337921746686</v>
      </c>
      <c r="G365" s="10">
        <v>-1</v>
      </c>
      <c r="H365" s="9">
        <v>80000</v>
      </c>
      <c r="I365" s="10">
        <v>1</v>
      </c>
      <c r="J365" s="9">
        <v>80000</v>
      </c>
      <c r="K365" s="9">
        <v>8220.6711664289669</v>
      </c>
      <c r="L365" s="10">
        <v>6</v>
      </c>
      <c r="M365" s="10">
        <v>0</v>
      </c>
      <c r="N365" s="9">
        <v>0</v>
      </c>
      <c r="O365" s="9">
        <f t="shared" si="2"/>
        <v>2000</v>
      </c>
      <c r="P365" s="9">
        <f t="shared" si="3"/>
        <v>1600</v>
      </c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spans="1:42" ht="13.2" x14ac:dyDescent="0.25">
      <c r="A366" s="3" t="s">
        <v>250</v>
      </c>
      <c r="B366" s="7">
        <v>44166</v>
      </c>
      <c r="C366" s="3" t="s">
        <v>39</v>
      </c>
      <c r="D366" s="8">
        <v>77.027079113746694</v>
      </c>
      <c r="E366" s="8">
        <v>60</v>
      </c>
      <c r="F366" s="9">
        <v>201162.06576216768</v>
      </c>
      <c r="G366" s="10">
        <v>1</v>
      </c>
      <c r="H366" s="9">
        <v>330000</v>
      </c>
      <c r="I366" s="10">
        <v>1</v>
      </c>
      <c r="J366" s="9">
        <v>330000</v>
      </c>
      <c r="K366" s="9">
        <v>28641.059254769414</v>
      </c>
      <c r="L366" s="10">
        <v>6</v>
      </c>
      <c r="M366" s="10">
        <v>0</v>
      </c>
      <c r="N366" s="9">
        <v>0</v>
      </c>
      <c r="O366" s="9">
        <f t="shared" si="2"/>
        <v>8250</v>
      </c>
      <c r="P366" s="9">
        <f t="shared" si="3"/>
        <v>6600</v>
      </c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spans="1:42" ht="13.2" x14ac:dyDescent="0.25">
      <c r="A367" s="3" t="s">
        <v>191</v>
      </c>
      <c r="B367" s="7">
        <v>44166</v>
      </c>
      <c r="C367" s="3" t="s">
        <v>36</v>
      </c>
      <c r="D367" s="8">
        <v>49.995899309769854</v>
      </c>
      <c r="E367" s="8">
        <v>286.41921644054912</v>
      </c>
      <c r="F367" s="9">
        <v>14663.246539675562</v>
      </c>
      <c r="G367" s="10">
        <v>-1</v>
      </c>
      <c r="H367" s="9">
        <v>10000</v>
      </c>
      <c r="I367" s="10">
        <v>0</v>
      </c>
      <c r="J367" s="9">
        <v>0</v>
      </c>
      <c r="K367" s="9">
        <v>0</v>
      </c>
      <c r="L367" s="10">
        <v>0</v>
      </c>
      <c r="M367" s="10">
        <v>0</v>
      </c>
      <c r="N367" s="9">
        <v>0</v>
      </c>
      <c r="O367" s="9">
        <f t="shared" si="2"/>
        <v>0</v>
      </c>
      <c r="P367" s="9">
        <f t="shared" si="3"/>
        <v>0</v>
      </c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spans="1:42" ht="13.2" x14ac:dyDescent="0.25">
      <c r="A368" s="3" t="s">
        <v>264</v>
      </c>
      <c r="B368" s="7">
        <v>44166</v>
      </c>
      <c r="C368" s="3" t="s">
        <v>39</v>
      </c>
      <c r="D368" s="8">
        <v>3</v>
      </c>
      <c r="E368" s="8">
        <v>252.00966345658355</v>
      </c>
      <c r="F368" s="9">
        <v>491995.44421775755</v>
      </c>
      <c r="G368" s="10">
        <v>-1</v>
      </c>
      <c r="H368" s="9">
        <v>660000</v>
      </c>
      <c r="I368" s="10">
        <v>0</v>
      </c>
      <c r="J368" s="9">
        <v>0</v>
      </c>
      <c r="K368" s="9">
        <v>0</v>
      </c>
      <c r="L368" s="10">
        <v>0</v>
      </c>
      <c r="M368" s="10">
        <v>0</v>
      </c>
      <c r="N368" s="9">
        <v>0</v>
      </c>
      <c r="O368" s="9">
        <f t="shared" si="2"/>
        <v>0</v>
      </c>
      <c r="P368" s="9">
        <f t="shared" si="3"/>
        <v>0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spans="1:42" ht="13.2" x14ac:dyDescent="0.25">
      <c r="A369" s="3" t="s">
        <v>265</v>
      </c>
      <c r="B369" s="7">
        <v>44166</v>
      </c>
      <c r="C369" s="3" t="s">
        <v>39</v>
      </c>
      <c r="D369" s="8">
        <v>12.244128777092033</v>
      </c>
      <c r="E369" s="8">
        <v>188.32050980926221</v>
      </c>
      <c r="F369" s="9">
        <v>45721.342777012287</v>
      </c>
      <c r="G369" s="10">
        <v>-1</v>
      </c>
      <c r="H369" s="9">
        <v>80000</v>
      </c>
      <c r="I369" s="10">
        <v>1</v>
      </c>
      <c r="J369" s="9">
        <v>80000</v>
      </c>
      <c r="K369" s="9">
        <v>7042.8671707653293</v>
      </c>
      <c r="L369" s="10">
        <v>6</v>
      </c>
      <c r="M369" s="10">
        <v>0</v>
      </c>
      <c r="N369" s="9">
        <v>0</v>
      </c>
      <c r="O369" s="9">
        <f t="shared" si="2"/>
        <v>2000</v>
      </c>
      <c r="P369" s="9">
        <f t="shared" si="3"/>
        <v>1600</v>
      </c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spans="1:42" ht="13.2" x14ac:dyDescent="0.25">
      <c r="A370" s="3" t="s">
        <v>266</v>
      </c>
      <c r="B370" s="7">
        <v>44166</v>
      </c>
      <c r="C370" s="3" t="s">
        <v>39</v>
      </c>
      <c r="D370" s="8">
        <v>3</v>
      </c>
      <c r="E370" s="8">
        <v>179.65515862186544</v>
      </c>
      <c r="F370" s="9">
        <v>6629.1718018330212</v>
      </c>
      <c r="G370" s="10">
        <v>-1</v>
      </c>
      <c r="H370" s="9">
        <v>10000</v>
      </c>
      <c r="I370" s="10">
        <v>0</v>
      </c>
      <c r="J370" s="9">
        <v>0</v>
      </c>
      <c r="K370" s="9">
        <v>0</v>
      </c>
      <c r="L370" s="10">
        <v>0</v>
      </c>
      <c r="M370" s="10">
        <v>0</v>
      </c>
      <c r="N370" s="9">
        <v>0</v>
      </c>
      <c r="O370" s="9">
        <f t="shared" si="2"/>
        <v>0</v>
      </c>
      <c r="P370" s="9">
        <f t="shared" si="3"/>
        <v>0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spans="1:42" ht="13.2" x14ac:dyDescent="0.25">
      <c r="A371" s="3" t="s">
        <v>267</v>
      </c>
      <c r="B371" s="7">
        <v>44166</v>
      </c>
      <c r="C371" s="3" t="s">
        <v>63</v>
      </c>
      <c r="D371" s="8">
        <v>68.577153714613829</v>
      </c>
      <c r="E371" s="8">
        <v>290.87032503908608</v>
      </c>
      <c r="F371" s="9">
        <v>612869.05859692139</v>
      </c>
      <c r="G371" s="10">
        <v>0</v>
      </c>
      <c r="H371" s="9">
        <v>520000</v>
      </c>
      <c r="I371" s="10">
        <v>1</v>
      </c>
      <c r="J371" s="9">
        <v>520000</v>
      </c>
      <c r="K371" s="9">
        <v>109543.67431903759</v>
      </c>
      <c r="L371" s="10">
        <v>12</v>
      </c>
      <c r="M371" s="10">
        <v>0</v>
      </c>
      <c r="N371" s="9">
        <v>0</v>
      </c>
      <c r="O371" s="9">
        <f t="shared" si="2"/>
        <v>13000</v>
      </c>
      <c r="P371" s="9">
        <f t="shared" si="3"/>
        <v>10400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spans="1:42" ht="13.2" x14ac:dyDescent="0.25">
      <c r="A372" s="3" t="s">
        <v>268</v>
      </c>
      <c r="B372" s="7">
        <v>44166</v>
      </c>
      <c r="C372" s="3" t="s">
        <v>36</v>
      </c>
      <c r="D372" s="8">
        <v>48.368850313859816</v>
      </c>
      <c r="E372" s="8">
        <v>87.696906129248788</v>
      </c>
      <c r="F372" s="9">
        <v>50906.194510969326</v>
      </c>
      <c r="G372" s="10">
        <v>-1</v>
      </c>
      <c r="H372" s="9">
        <v>70000</v>
      </c>
      <c r="I372" s="10">
        <v>1</v>
      </c>
      <c r="J372" s="9">
        <v>70000</v>
      </c>
      <c r="K372" s="9">
        <v>6875.5518491967505</v>
      </c>
      <c r="L372" s="10">
        <v>6</v>
      </c>
      <c r="M372" s="10">
        <v>0</v>
      </c>
      <c r="N372" s="9">
        <v>0</v>
      </c>
      <c r="O372" s="9">
        <f t="shared" si="2"/>
        <v>1750</v>
      </c>
      <c r="P372" s="9">
        <f t="shared" si="3"/>
        <v>1400</v>
      </c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spans="1:42" ht="13.2" x14ac:dyDescent="0.25">
      <c r="A373" s="3" t="s">
        <v>269</v>
      </c>
      <c r="B373" s="7">
        <v>44166</v>
      </c>
      <c r="C373" s="3" t="s">
        <v>36</v>
      </c>
      <c r="D373" s="8">
        <v>29.279589225248998</v>
      </c>
      <c r="E373" s="8">
        <v>230.00851258141785</v>
      </c>
      <c r="F373" s="9">
        <v>40983.933231890296</v>
      </c>
      <c r="G373" s="10">
        <v>1</v>
      </c>
      <c r="H373" s="9">
        <v>50000</v>
      </c>
      <c r="I373" s="10">
        <v>1</v>
      </c>
      <c r="J373" s="9">
        <v>50000</v>
      </c>
      <c r="K373" s="9">
        <v>4346.7144704359498</v>
      </c>
      <c r="L373" s="10">
        <v>6</v>
      </c>
      <c r="M373" s="10">
        <v>0</v>
      </c>
      <c r="N373" s="9">
        <v>0</v>
      </c>
      <c r="O373" s="9">
        <f t="shared" si="2"/>
        <v>1250</v>
      </c>
      <c r="P373" s="9">
        <f t="shared" si="3"/>
        <v>1000</v>
      </c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spans="1:42" ht="13.2" x14ac:dyDescent="0.25">
      <c r="A374" s="3" t="s">
        <v>270</v>
      </c>
      <c r="B374" s="7">
        <v>44166</v>
      </c>
      <c r="C374" s="3" t="s">
        <v>36</v>
      </c>
      <c r="D374" s="8">
        <v>3</v>
      </c>
      <c r="E374" s="8">
        <v>60</v>
      </c>
      <c r="F374" s="9">
        <v>7124.7276157364322</v>
      </c>
      <c r="G374" s="10">
        <v>1</v>
      </c>
      <c r="H374" s="9">
        <v>10000</v>
      </c>
      <c r="I374" s="10">
        <v>0</v>
      </c>
      <c r="J374" s="9">
        <v>0</v>
      </c>
      <c r="K374" s="9">
        <v>0</v>
      </c>
      <c r="L374" s="10">
        <v>0</v>
      </c>
      <c r="M374" s="10">
        <v>0</v>
      </c>
      <c r="N374" s="9">
        <v>0</v>
      </c>
      <c r="O374" s="9">
        <f t="shared" si="2"/>
        <v>0</v>
      </c>
      <c r="P374" s="9">
        <f t="shared" si="3"/>
        <v>0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spans="1:42" ht="13.2" x14ac:dyDescent="0.25">
      <c r="A375" s="3" t="s">
        <v>165</v>
      </c>
      <c r="B375" s="7">
        <v>44166</v>
      </c>
      <c r="C375" s="3" t="s">
        <v>36</v>
      </c>
      <c r="D375" s="8">
        <v>86.53412061404471</v>
      </c>
      <c r="E375" s="8">
        <v>318.59422577644324</v>
      </c>
      <c r="F375" s="9">
        <v>91808.771536256478</v>
      </c>
      <c r="G375" s="10">
        <v>0</v>
      </c>
      <c r="H375" s="9">
        <v>60000</v>
      </c>
      <c r="I375" s="10">
        <v>1</v>
      </c>
      <c r="J375" s="9">
        <v>60000</v>
      </c>
      <c r="K375" s="9">
        <v>6903.2739618831938</v>
      </c>
      <c r="L375" s="10">
        <v>6</v>
      </c>
      <c r="M375" s="10">
        <v>0</v>
      </c>
      <c r="N375" s="9">
        <v>0</v>
      </c>
      <c r="O375" s="9">
        <f t="shared" si="2"/>
        <v>1500</v>
      </c>
      <c r="P375" s="9">
        <f t="shared" si="3"/>
        <v>1200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spans="1:42" ht="13.2" x14ac:dyDescent="0.25">
      <c r="A376" s="3" t="s">
        <v>153</v>
      </c>
      <c r="B376" s="7">
        <v>44166</v>
      </c>
      <c r="C376" s="3" t="s">
        <v>36</v>
      </c>
      <c r="D376" s="8">
        <v>10.205310603114459</v>
      </c>
      <c r="E376" s="8">
        <v>105.36347337628942</v>
      </c>
      <c r="F376" s="9">
        <v>37181.456526261936</v>
      </c>
      <c r="G376" s="10">
        <v>0</v>
      </c>
      <c r="H376" s="9">
        <v>50000</v>
      </c>
      <c r="I376" s="10">
        <v>1</v>
      </c>
      <c r="J376" s="9">
        <v>50000</v>
      </c>
      <c r="K376" s="9">
        <v>4191.4320256920464</v>
      </c>
      <c r="L376" s="10">
        <v>6</v>
      </c>
      <c r="M376" s="10">
        <v>0</v>
      </c>
      <c r="N376" s="9">
        <v>0</v>
      </c>
      <c r="O376" s="9">
        <f t="shared" si="2"/>
        <v>1250</v>
      </c>
      <c r="P376" s="9">
        <f t="shared" si="3"/>
        <v>1000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spans="1:42" ht="13.2" x14ac:dyDescent="0.25">
      <c r="A377" s="3" t="s">
        <v>219</v>
      </c>
      <c r="B377" s="7">
        <v>44166</v>
      </c>
      <c r="C377" s="3" t="s">
        <v>63</v>
      </c>
      <c r="D377" s="8">
        <v>52.107211451492326</v>
      </c>
      <c r="E377" s="8">
        <v>248.91504294193754</v>
      </c>
      <c r="F377" s="9">
        <v>29251.574626581674</v>
      </c>
      <c r="G377" s="10">
        <v>1</v>
      </c>
      <c r="H377" s="9">
        <v>20000</v>
      </c>
      <c r="I377" s="10">
        <v>0</v>
      </c>
      <c r="J377" s="9">
        <v>0</v>
      </c>
      <c r="K377" s="9">
        <v>0</v>
      </c>
      <c r="L377" s="10">
        <v>0</v>
      </c>
      <c r="M377" s="10">
        <v>0</v>
      </c>
      <c r="N377" s="9">
        <v>0</v>
      </c>
      <c r="O377" s="9">
        <f t="shared" si="2"/>
        <v>0</v>
      </c>
      <c r="P377" s="9">
        <f t="shared" si="3"/>
        <v>0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spans="1:42" ht="13.2" x14ac:dyDescent="0.25">
      <c r="A378" s="3" t="s">
        <v>271</v>
      </c>
      <c r="B378" s="7">
        <v>44197</v>
      </c>
      <c r="C378" s="3" t="s">
        <v>36</v>
      </c>
      <c r="D378" s="8">
        <v>4.5837897465352473</v>
      </c>
      <c r="E378" s="8">
        <v>302.75357389335136</v>
      </c>
      <c r="F378" s="9">
        <v>32711.48669293103</v>
      </c>
      <c r="G378" s="10">
        <v>0</v>
      </c>
      <c r="H378" s="9">
        <v>20000</v>
      </c>
      <c r="I378" s="10">
        <v>0</v>
      </c>
      <c r="J378" s="9">
        <v>0</v>
      </c>
      <c r="K378" s="9">
        <v>0</v>
      </c>
      <c r="L378" s="10">
        <v>0</v>
      </c>
      <c r="M378" s="10">
        <v>0</v>
      </c>
      <c r="N378" s="9">
        <v>0</v>
      </c>
      <c r="O378" s="9">
        <f t="shared" si="2"/>
        <v>0</v>
      </c>
      <c r="P378" s="9">
        <f t="shared" si="3"/>
        <v>0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spans="1:42" ht="13.2" x14ac:dyDescent="0.25">
      <c r="A379" s="3" t="s">
        <v>96</v>
      </c>
      <c r="B379" s="7">
        <v>44197</v>
      </c>
      <c r="C379" s="3" t="s">
        <v>36</v>
      </c>
      <c r="D379" s="8">
        <v>162.2976697695259</v>
      </c>
      <c r="E379" s="8">
        <v>79.598653129214654</v>
      </c>
      <c r="F379" s="9">
        <v>68872.380031205335</v>
      </c>
      <c r="G379" s="10">
        <v>-1</v>
      </c>
      <c r="H379" s="9">
        <v>70000</v>
      </c>
      <c r="I379" s="10">
        <v>1</v>
      </c>
      <c r="J379" s="9">
        <v>70000</v>
      </c>
      <c r="K379" s="9">
        <v>7480.3652440428741</v>
      </c>
      <c r="L379" s="10">
        <v>6</v>
      </c>
      <c r="M379" s="10">
        <v>0</v>
      </c>
      <c r="N379" s="9">
        <v>0</v>
      </c>
      <c r="O379" s="9">
        <f t="shared" si="2"/>
        <v>1750</v>
      </c>
      <c r="P379" s="9">
        <f t="shared" si="3"/>
        <v>1400</v>
      </c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spans="1:42" ht="13.2" x14ac:dyDescent="0.25">
      <c r="A380" s="3" t="s">
        <v>272</v>
      </c>
      <c r="B380" s="7">
        <v>44197</v>
      </c>
      <c r="C380" s="3" t="s">
        <v>39</v>
      </c>
      <c r="D380" s="8">
        <v>61.278352249800598</v>
      </c>
      <c r="E380" s="8">
        <v>189.50045235598654</v>
      </c>
      <c r="F380" s="9">
        <v>21162.576918421422</v>
      </c>
      <c r="G380" s="10">
        <v>1</v>
      </c>
      <c r="H380" s="9">
        <v>30000</v>
      </c>
      <c r="I380" s="10">
        <v>1</v>
      </c>
      <c r="J380" s="9">
        <v>30000</v>
      </c>
      <c r="K380" s="9">
        <v>2349.2232755167797</v>
      </c>
      <c r="L380" s="10">
        <v>5</v>
      </c>
      <c r="M380" s="10">
        <v>0</v>
      </c>
      <c r="N380" s="9">
        <v>0</v>
      </c>
      <c r="O380" s="9">
        <f t="shared" si="2"/>
        <v>750</v>
      </c>
      <c r="P380" s="9">
        <f t="shared" si="3"/>
        <v>600</v>
      </c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spans="1:42" ht="13.2" x14ac:dyDescent="0.25">
      <c r="A381" s="3" t="s">
        <v>273</v>
      </c>
      <c r="B381" s="7">
        <v>44197</v>
      </c>
      <c r="C381" s="3" t="s">
        <v>36</v>
      </c>
      <c r="D381" s="8">
        <v>45.624473231847723</v>
      </c>
      <c r="E381" s="8">
        <v>116.9387857969066</v>
      </c>
      <c r="F381" s="9">
        <v>449812.75713174854</v>
      </c>
      <c r="G381" s="10">
        <v>-1</v>
      </c>
      <c r="H381" s="9">
        <v>370000</v>
      </c>
      <c r="I381" s="10">
        <v>1</v>
      </c>
      <c r="J381" s="9">
        <v>370000</v>
      </c>
      <c r="K381" s="9">
        <v>14834.033378962111</v>
      </c>
      <c r="L381" s="10">
        <v>6</v>
      </c>
      <c r="M381" s="10">
        <v>0</v>
      </c>
      <c r="N381" s="9">
        <v>0</v>
      </c>
      <c r="O381" s="9">
        <f t="shared" si="2"/>
        <v>9250</v>
      </c>
      <c r="P381" s="9">
        <f t="shared" si="3"/>
        <v>7400</v>
      </c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spans="1:42" ht="13.2" x14ac:dyDescent="0.25">
      <c r="A382" s="3" t="s">
        <v>274</v>
      </c>
      <c r="B382" s="7">
        <v>44197</v>
      </c>
      <c r="C382" s="3" t="s">
        <v>36</v>
      </c>
      <c r="D382" s="8">
        <v>3</v>
      </c>
      <c r="E382" s="8">
        <v>346.90513576664034</v>
      </c>
      <c r="F382" s="9">
        <v>2937.3099735149635</v>
      </c>
      <c r="G382" s="10">
        <v>0</v>
      </c>
      <c r="H382" s="9">
        <v>3333.3333333333335</v>
      </c>
      <c r="I382" s="10">
        <v>0</v>
      </c>
      <c r="J382" s="9">
        <v>0</v>
      </c>
      <c r="K382" s="9">
        <v>0</v>
      </c>
      <c r="L382" s="10">
        <v>0</v>
      </c>
      <c r="M382" s="10">
        <v>0</v>
      </c>
      <c r="N382" s="9">
        <v>0</v>
      </c>
      <c r="O382" s="9">
        <f t="shared" si="2"/>
        <v>0</v>
      </c>
      <c r="P382" s="9">
        <f t="shared" si="3"/>
        <v>0</v>
      </c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spans="1:42" ht="13.2" x14ac:dyDescent="0.25">
      <c r="A383" s="3" t="s">
        <v>77</v>
      </c>
      <c r="B383" s="7">
        <v>44197</v>
      </c>
      <c r="C383" s="3" t="s">
        <v>39</v>
      </c>
      <c r="D383" s="8">
        <v>77.818282686625309</v>
      </c>
      <c r="E383" s="8">
        <v>60</v>
      </c>
      <c r="F383" s="9">
        <v>153533.45172972279</v>
      </c>
      <c r="G383" s="10">
        <v>0</v>
      </c>
      <c r="H383" s="9">
        <v>186000</v>
      </c>
      <c r="I383" s="10">
        <v>1</v>
      </c>
      <c r="J383" s="9">
        <v>186000</v>
      </c>
      <c r="K383" s="9">
        <v>11554.909750726561</v>
      </c>
      <c r="L383" s="10">
        <v>8</v>
      </c>
      <c r="M383" s="10">
        <v>0</v>
      </c>
      <c r="N383" s="9">
        <v>0</v>
      </c>
      <c r="O383" s="9">
        <f t="shared" si="2"/>
        <v>4650</v>
      </c>
      <c r="P383" s="9">
        <f t="shared" si="3"/>
        <v>3720</v>
      </c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spans="1:42" ht="13.2" x14ac:dyDescent="0.25">
      <c r="A384" s="3" t="s">
        <v>119</v>
      </c>
      <c r="B384" s="7">
        <v>44197</v>
      </c>
      <c r="C384" s="3" t="s">
        <v>36</v>
      </c>
      <c r="D384" s="8">
        <v>51.711397241734979</v>
      </c>
      <c r="E384" s="8">
        <v>83.426392553207251</v>
      </c>
      <c r="F384" s="9">
        <v>326496.22155951307</v>
      </c>
      <c r="G384" s="10">
        <v>1</v>
      </c>
      <c r="H384" s="9">
        <v>350000</v>
      </c>
      <c r="I384" s="10">
        <v>1</v>
      </c>
      <c r="J384" s="9">
        <v>350000</v>
      </c>
      <c r="K384" s="9">
        <v>30788.552232921666</v>
      </c>
      <c r="L384" s="10">
        <v>6</v>
      </c>
      <c r="M384" s="10">
        <v>0</v>
      </c>
      <c r="N384" s="9">
        <v>0</v>
      </c>
      <c r="O384" s="9">
        <f t="shared" si="2"/>
        <v>8750</v>
      </c>
      <c r="P384" s="9">
        <f t="shared" si="3"/>
        <v>7000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spans="1:42" ht="13.2" x14ac:dyDescent="0.25">
      <c r="A385" s="3" t="s">
        <v>275</v>
      </c>
      <c r="B385" s="7">
        <v>44197</v>
      </c>
      <c r="C385" s="3" t="s">
        <v>39</v>
      </c>
      <c r="D385" s="8">
        <v>29.6681046763347</v>
      </c>
      <c r="E385" s="8">
        <v>207.82141497748057</v>
      </c>
      <c r="F385" s="9">
        <v>14199.757904119862</v>
      </c>
      <c r="G385" s="10">
        <v>-1</v>
      </c>
      <c r="H385" s="9">
        <v>10000</v>
      </c>
      <c r="I385" s="10">
        <v>1</v>
      </c>
      <c r="J385" s="9">
        <v>10000</v>
      </c>
      <c r="K385" s="9">
        <v>1091.8976823523431</v>
      </c>
      <c r="L385" s="10">
        <v>6</v>
      </c>
      <c r="M385" s="10">
        <v>0</v>
      </c>
      <c r="N385" s="9">
        <v>0</v>
      </c>
      <c r="O385" s="9">
        <f t="shared" si="2"/>
        <v>250</v>
      </c>
      <c r="P385" s="9">
        <f t="shared" si="3"/>
        <v>200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spans="1:42" ht="13.2" x14ac:dyDescent="0.25">
      <c r="A386" s="3" t="s">
        <v>240</v>
      </c>
      <c r="B386" s="7">
        <v>44197</v>
      </c>
      <c r="C386" s="3" t="s">
        <v>36</v>
      </c>
      <c r="D386" s="8">
        <v>26.687598421842086</v>
      </c>
      <c r="E386" s="8">
        <v>229.71473131192892</v>
      </c>
      <c r="F386" s="9">
        <v>14911.396873666637</v>
      </c>
      <c r="G386" s="10">
        <v>0</v>
      </c>
      <c r="H386" s="9">
        <v>20000</v>
      </c>
      <c r="I386" s="10">
        <v>1</v>
      </c>
      <c r="J386" s="9">
        <v>20000</v>
      </c>
      <c r="K386" s="9">
        <v>1022.9525842559342</v>
      </c>
      <c r="L386" s="10">
        <v>6</v>
      </c>
      <c r="M386" s="10">
        <v>0</v>
      </c>
      <c r="N386" s="9">
        <v>0</v>
      </c>
      <c r="O386" s="9">
        <f t="shared" si="2"/>
        <v>500</v>
      </c>
      <c r="P386" s="9">
        <f t="shared" si="3"/>
        <v>400</v>
      </c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spans="1:42" ht="13.2" x14ac:dyDescent="0.25">
      <c r="A387" s="3" t="s">
        <v>151</v>
      </c>
      <c r="B387" s="7">
        <v>44197</v>
      </c>
      <c r="C387" s="3" t="s">
        <v>39</v>
      </c>
      <c r="D387" s="8">
        <v>43.065145774330006</v>
      </c>
      <c r="E387" s="8">
        <v>92.714115836322094</v>
      </c>
      <c r="F387" s="9">
        <v>35646.46731515463</v>
      </c>
      <c r="G387" s="10">
        <v>-1</v>
      </c>
      <c r="H387" s="9">
        <v>50000</v>
      </c>
      <c r="I387" s="10">
        <v>0</v>
      </c>
      <c r="J387" s="9">
        <v>0</v>
      </c>
      <c r="K387" s="9">
        <v>0</v>
      </c>
      <c r="L387" s="10">
        <v>0</v>
      </c>
      <c r="M387" s="10">
        <v>0</v>
      </c>
      <c r="N387" s="9">
        <v>0</v>
      </c>
      <c r="O387" s="9">
        <f t="shared" si="2"/>
        <v>0</v>
      </c>
      <c r="P387" s="9">
        <f t="shared" si="3"/>
        <v>0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spans="1:42" ht="13.2" x14ac:dyDescent="0.25">
      <c r="A388" s="3" t="s">
        <v>276</v>
      </c>
      <c r="B388" s="7">
        <v>44197</v>
      </c>
      <c r="C388" s="3" t="s">
        <v>36</v>
      </c>
      <c r="D388" s="8">
        <v>130.34643259537327</v>
      </c>
      <c r="E388" s="8">
        <v>348.67811642640658</v>
      </c>
      <c r="F388" s="9">
        <v>212947.28329591584</v>
      </c>
      <c r="G388" s="10">
        <v>0</v>
      </c>
      <c r="H388" s="9">
        <v>140000</v>
      </c>
      <c r="I388" s="10">
        <v>1</v>
      </c>
      <c r="J388" s="9">
        <v>140000</v>
      </c>
      <c r="K388" s="9">
        <v>12626.285717383473</v>
      </c>
      <c r="L388" s="10">
        <v>4</v>
      </c>
      <c r="M388" s="10">
        <v>0</v>
      </c>
      <c r="N388" s="9">
        <v>0</v>
      </c>
      <c r="O388" s="9">
        <f t="shared" si="2"/>
        <v>3500</v>
      </c>
      <c r="P388" s="9">
        <f t="shared" si="3"/>
        <v>2800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spans="1:42" ht="13.2" x14ac:dyDescent="0.25">
      <c r="A389" s="3" t="s">
        <v>57</v>
      </c>
      <c r="B389" s="7">
        <v>44197</v>
      </c>
      <c r="C389" s="3" t="s">
        <v>36</v>
      </c>
      <c r="D389" s="8">
        <v>33.092948278633578</v>
      </c>
      <c r="E389" s="8">
        <v>60</v>
      </c>
      <c r="F389" s="9">
        <v>274605.34639950766</v>
      </c>
      <c r="G389" s="10">
        <v>0</v>
      </c>
      <c r="H389" s="9">
        <v>400000</v>
      </c>
      <c r="I389" s="10">
        <v>1</v>
      </c>
      <c r="J389" s="9">
        <v>400000</v>
      </c>
      <c r="K389" s="9">
        <v>53331.410385951109</v>
      </c>
      <c r="L389" s="10">
        <v>6</v>
      </c>
      <c r="M389" s="10">
        <v>0</v>
      </c>
      <c r="N389" s="9">
        <v>0</v>
      </c>
      <c r="O389" s="9">
        <f t="shared" si="2"/>
        <v>10000</v>
      </c>
      <c r="P389" s="9">
        <f t="shared" si="3"/>
        <v>8000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spans="1:42" ht="13.2" x14ac:dyDescent="0.25">
      <c r="A390" s="3" t="s">
        <v>212</v>
      </c>
      <c r="B390" s="7">
        <v>44197</v>
      </c>
      <c r="C390" s="3" t="s">
        <v>36</v>
      </c>
      <c r="D390" s="8">
        <v>24.231076765750323</v>
      </c>
      <c r="E390" s="8">
        <v>238.69230331465513</v>
      </c>
      <c r="F390" s="9">
        <v>29386.573124747258</v>
      </c>
      <c r="G390" s="10">
        <v>1</v>
      </c>
      <c r="H390" s="9">
        <v>20000</v>
      </c>
      <c r="I390" s="10">
        <v>0</v>
      </c>
      <c r="J390" s="9">
        <v>0</v>
      </c>
      <c r="K390" s="9">
        <v>0</v>
      </c>
      <c r="L390" s="10">
        <v>0</v>
      </c>
      <c r="M390" s="10">
        <v>0</v>
      </c>
      <c r="N390" s="9">
        <v>0</v>
      </c>
      <c r="O390" s="9">
        <f t="shared" si="2"/>
        <v>0</v>
      </c>
      <c r="P390" s="9">
        <f t="shared" si="3"/>
        <v>0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spans="1:42" ht="13.2" x14ac:dyDescent="0.25">
      <c r="A391" s="3" t="s">
        <v>277</v>
      </c>
      <c r="B391" s="7">
        <v>44197</v>
      </c>
      <c r="C391" s="3" t="s">
        <v>36</v>
      </c>
      <c r="D391" s="8">
        <v>3</v>
      </c>
      <c r="E391" s="8">
        <v>60</v>
      </c>
      <c r="F391" s="9">
        <v>435831.05759630317</v>
      </c>
      <c r="G391" s="10">
        <v>-1</v>
      </c>
      <c r="H391" s="9">
        <v>610000</v>
      </c>
      <c r="I391" s="10">
        <v>1</v>
      </c>
      <c r="J391" s="9">
        <v>610000</v>
      </c>
      <c r="K391" s="9">
        <v>71395.394421757417</v>
      </c>
      <c r="L391" s="10">
        <v>7</v>
      </c>
      <c r="M391" s="10">
        <v>1</v>
      </c>
      <c r="N391" s="9">
        <v>269950.85849762236</v>
      </c>
      <c r="O391" s="9">
        <f t="shared" si="2"/>
        <v>15250</v>
      </c>
      <c r="P391" s="9">
        <f t="shared" si="3"/>
        <v>12200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spans="1:42" ht="13.2" x14ac:dyDescent="0.25">
      <c r="A392" s="3" t="s">
        <v>265</v>
      </c>
      <c r="B392" s="7">
        <v>44197</v>
      </c>
      <c r="C392" s="3" t="s">
        <v>39</v>
      </c>
      <c r="D392" s="8">
        <v>28.318361238090031</v>
      </c>
      <c r="E392" s="8">
        <v>60</v>
      </c>
      <c r="F392" s="9">
        <v>17479.324694855299</v>
      </c>
      <c r="G392" s="10">
        <v>1</v>
      </c>
      <c r="H392" s="9">
        <v>30000</v>
      </c>
      <c r="I392" s="10">
        <v>1</v>
      </c>
      <c r="J392" s="9">
        <v>30000</v>
      </c>
      <c r="K392" s="9">
        <v>1392.1122608745948</v>
      </c>
      <c r="L392" s="10">
        <v>6</v>
      </c>
      <c r="M392" s="10">
        <v>0</v>
      </c>
      <c r="N392" s="9">
        <v>0</v>
      </c>
      <c r="O392" s="9">
        <f t="shared" si="2"/>
        <v>750</v>
      </c>
      <c r="P392" s="9">
        <f t="shared" si="3"/>
        <v>600</v>
      </c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spans="1:42" ht="13.2" x14ac:dyDescent="0.25">
      <c r="A393" s="3" t="s">
        <v>110</v>
      </c>
      <c r="B393" s="7">
        <v>44197</v>
      </c>
      <c r="C393" s="3" t="s">
        <v>36</v>
      </c>
      <c r="D393" s="8">
        <v>12.206899698296429</v>
      </c>
      <c r="E393" s="8">
        <v>181.06058665326034</v>
      </c>
      <c r="F393" s="9">
        <v>441360.22313187277</v>
      </c>
      <c r="G393" s="10">
        <v>0</v>
      </c>
      <c r="H393" s="9">
        <v>400000</v>
      </c>
      <c r="I393" s="10">
        <v>1</v>
      </c>
      <c r="J393" s="9">
        <v>400000</v>
      </c>
      <c r="K393" s="9">
        <v>16360.773858158293</v>
      </c>
      <c r="L393" s="10">
        <v>6</v>
      </c>
      <c r="M393" s="10">
        <v>0</v>
      </c>
      <c r="N393" s="9">
        <v>0</v>
      </c>
      <c r="O393" s="9">
        <f t="shared" si="2"/>
        <v>10000</v>
      </c>
      <c r="P393" s="9">
        <f t="shared" si="3"/>
        <v>8000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spans="1:42" ht="13.2" x14ac:dyDescent="0.25">
      <c r="A394" s="3" t="s">
        <v>278</v>
      </c>
      <c r="B394" s="7">
        <v>44197</v>
      </c>
      <c r="C394" s="3" t="s">
        <v>36</v>
      </c>
      <c r="D394" s="8">
        <v>3</v>
      </c>
      <c r="E394" s="8">
        <v>101.10428580581016</v>
      </c>
      <c r="F394" s="9">
        <v>83703.280242480861</v>
      </c>
      <c r="G394" s="10">
        <v>0</v>
      </c>
      <c r="H394" s="9">
        <v>150000</v>
      </c>
      <c r="I394" s="10">
        <v>0</v>
      </c>
      <c r="J394" s="9">
        <v>0</v>
      </c>
      <c r="K394" s="9">
        <v>0</v>
      </c>
      <c r="L394" s="10">
        <v>0</v>
      </c>
      <c r="M394" s="10">
        <v>0</v>
      </c>
      <c r="N394" s="9">
        <v>0</v>
      </c>
      <c r="O394" s="9">
        <f t="shared" si="2"/>
        <v>0</v>
      </c>
      <c r="P394" s="9">
        <f t="shared" si="3"/>
        <v>0</v>
      </c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spans="1:42" ht="13.2" x14ac:dyDescent="0.25">
      <c r="A395" s="3" t="s">
        <v>279</v>
      </c>
      <c r="B395" s="7">
        <v>44197</v>
      </c>
      <c r="C395" s="3" t="s">
        <v>39</v>
      </c>
      <c r="D395" s="8">
        <v>9.4367853518032749</v>
      </c>
      <c r="E395" s="8">
        <v>99.284210318659717</v>
      </c>
      <c r="F395" s="9">
        <v>6859.8113663123686</v>
      </c>
      <c r="G395" s="10">
        <v>1</v>
      </c>
      <c r="H395" s="9">
        <v>10000</v>
      </c>
      <c r="I395" s="10">
        <v>0</v>
      </c>
      <c r="J395" s="9">
        <v>0</v>
      </c>
      <c r="K395" s="9">
        <v>0</v>
      </c>
      <c r="L395" s="10">
        <v>0</v>
      </c>
      <c r="M395" s="10">
        <v>0</v>
      </c>
      <c r="N395" s="9">
        <v>0</v>
      </c>
      <c r="O395" s="9">
        <f t="shared" si="2"/>
        <v>0</v>
      </c>
      <c r="P395" s="9">
        <f t="shared" si="3"/>
        <v>0</v>
      </c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spans="1:42" ht="13.2" x14ac:dyDescent="0.25">
      <c r="A396" s="3" t="s">
        <v>280</v>
      </c>
      <c r="B396" s="7">
        <v>44197</v>
      </c>
      <c r="C396" s="3" t="s">
        <v>39</v>
      </c>
      <c r="D396" s="8">
        <v>73.562731448870068</v>
      </c>
      <c r="E396" s="8">
        <v>275.24977670146649</v>
      </c>
      <c r="F396" s="9">
        <v>795057.91743506468</v>
      </c>
      <c r="G396" s="10">
        <v>0</v>
      </c>
      <c r="H396" s="9">
        <v>509000</v>
      </c>
      <c r="I396" s="10">
        <v>1</v>
      </c>
      <c r="J396" s="9">
        <v>509000</v>
      </c>
      <c r="K396" s="9">
        <v>68444.59881116476</v>
      </c>
      <c r="L396" s="10">
        <v>12</v>
      </c>
      <c r="M396" s="10">
        <v>0</v>
      </c>
      <c r="N396" s="9">
        <v>0</v>
      </c>
      <c r="O396" s="9">
        <f t="shared" si="2"/>
        <v>12725</v>
      </c>
      <c r="P396" s="9">
        <f t="shared" si="3"/>
        <v>10180</v>
      </c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spans="1:42" ht="13.2" x14ac:dyDescent="0.25">
      <c r="A397" s="3" t="s">
        <v>116</v>
      </c>
      <c r="B397" s="7">
        <v>44197</v>
      </c>
      <c r="C397" s="3" t="s">
        <v>39</v>
      </c>
      <c r="D397" s="8">
        <v>32.404143773126634</v>
      </c>
      <c r="E397" s="8">
        <v>301.29496491958076</v>
      </c>
      <c r="F397" s="9">
        <v>1153730.0400672655</v>
      </c>
      <c r="G397" s="10">
        <v>-1</v>
      </c>
      <c r="H397" s="9">
        <v>780000</v>
      </c>
      <c r="I397" s="10">
        <v>1</v>
      </c>
      <c r="J397" s="9">
        <v>780000</v>
      </c>
      <c r="K397" s="9">
        <v>109422.20678261002</v>
      </c>
      <c r="L397" s="10">
        <v>12</v>
      </c>
      <c r="M397" s="10">
        <v>0</v>
      </c>
      <c r="N397" s="9">
        <v>0</v>
      </c>
      <c r="O397" s="9">
        <f t="shared" si="2"/>
        <v>19500</v>
      </c>
      <c r="P397" s="9">
        <f t="shared" si="3"/>
        <v>15600</v>
      </c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spans="1:42" ht="13.2" x14ac:dyDescent="0.25">
      <c r="A398" s="3" t="s">
        <v>281</v>
      </c>
      <c r="B398" s="7">
        <v>44197</v>
      </c>
      <c r="C398" s="3" t="s">
        <v>36</v>
      </c>
      <c r="D398" s="8">
        <v>25.706439029549077</v>
      </c>
      <c r="E398" s="8">
        <v>84.904632843232136</v>
      </c>
      <c r="F398" s="9">
        <v>622488.99095611286</v>
      </c>
      <c r="G398" s="10">
        <v>1</v>
      </c>
      <c r="H398" s="9">
        <v>1160000</v>
      </c>
      <c r="I398" s="10">
        <v>0</v>
      </c>
      <c r="J398" s="9">
        <v>0</v>
      </c>
      <c r="K398" s="9">
        <v>0</v>
      </c>
      <c r="L398" s="10">
        <v>0</v>
      </c>
      <c r="M398" s="10">
        <v>0</v>
      </c>
      <c r="N398" s="9">
        <v>0</v>
      </c>
      <c r="O398" s="9">
        <f t="shared" si="2"/>
        <v>0</v>
      </c>
      <c r="P398" s="9">
        <f t="shared" si="3"/>
        <v>0</v>
      </c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spans="1:42" ht="13.2" x14ac:dyDescent="0.25">
      <c r="A399" s="3" t="s">
        <v>282</v>
      </c>
      <c r="B399" s="7">
        <v>44197</v>
      </c>
      <c r="C399" s="3" t="s">
        <v>39</v>
      </c>
      <c r="D399" s="8">
        <v>51.991910276682603</v>
      </c>
      <c r="E399" s="8">
        <v>60</v>
      </c>
      <c r="F399" s="9">
        <v>126392.98234908984</v>
      </c>
      <c r="G399" s="10">
        <v>0</v>
      </c>
      <c r="H399" s="9">
        <v>120000</v>
      </c>
      <c r="I399" s="10">
        <v>0</v>
      </c>
      <c r="J399" s="9">
        <v>0</v>
      </c>
      <c r="K399" s="9">
        <v>0</v>
      </c>
      <c r="L399" s="10">
        <v>0</v>
      </c>
      <c r="M399" s="10">
        <v>0</v>
      </c>
      <c r="N399" s="9">
        <v>0</v>
      </c>
      <c r="O399" s="9">
        <f t="shared" si="2"/>
        <v>0</v>
      </c>
      <c r="P399" s="9">
        <f t="shared" si="3"/>
        <v>0</v>
      </c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spans="1:42" ht="13.2" x14ac:dyDescent="0.25">
      <c r="A400" s="3" t="s">
        <v>283</v>
      </c>
      <c r="B400" s="7">
        <v>44197</v>
      </c>
      <c r="C400" s="3" t="s">
        <v>63</v>
      </c>
      <c r="D400" s="8">
        <v>114.07797410452071</v>
      </c>
      <c r="E400" s="8">
        <v>177.36595691473039</v>
      </c>
      <c r="F400" s="9">
        <v>399885.34145455196</v>
      </c>
      <c r="G400" s="10">
        <v>0</v>
      </c>
      <c r="H400" s="9">
        <v>280000</v>
      </c>
      <c r="I400" s="10">
        <v>1</v>
      </c>
      <c r="J400" s="9">
        <v>280000</v>
      </c>
      <c r="K400" s="9">
        <v>8136.0374064220287</v>
      </c>
      <c r="L400" s="10">
        <v>6</v>
      </c>
      <c r="M400" s="10">
        <v>0</v>
      </c>
      <c r="N400" s="9">
        <v>0</v>
      </c>
      <c r="O400" s="9">
        <f t="shared" si="2"/>
        <v>7000</v>
      </c>
      <c r="P400" s="9">
        <f t="shared" si="3"/>
        <v>5600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spans="1:42" ht="13.2" x14ac:dyDescent="0.25">
      <c r="A401" s="3" t="s">
        <v>284</v>
      </c>
      <c r="B401" s="7">
        <v>44197</v>
      </c>
      <c r="C401" s="3" t="s">
        <v>36</v>
      </c>
      <c r="D401" s="8">
        <v>44.822805138797307</v>
      </c>
      <c r="E401" s="8">
        <v>60</v>
      </c>
      <c r="F401" s="9">
        <v>461839.96581319085</v>
      </c>
      <c r="G401" s="10">
        <v>0</v>
      </c>
      <c r="H401" s="9">
        <v>610000</v>
      </c>
      <c r="I401" s="10">
        <v>0</v>
      </c>
      <c r="J401" s="9">
        <v>0</v>
      </c>
      <c r="K401" s="9">
        <v>0</v>
      </c>
      <c r="L401" s="10">
        <v>0</v>
      </c>
      <c r="M401" s="10">
        <v>0</v>
      </c>
      <c r="N401" s="9">
        <v>0</v>
      </c>
      <c r="O401" s="9">
        <f t="shared" si="2"/>
        <v>0</v>
      </c>
      <c r="P401" s="9">
        <f t="shared" si="3"/>
        <v>0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spans="1:42" ht="13.2" x14ac:dyDescent="0.25">
      <c r="A402" s="3" t="s">
        <v>285</v>
      </c>
      <c r="B402" s="7">
        <v>44197</v>
      </c>
      <c r="C402" s="3" t="s">
        <v>36</v>
      </c>
      <c r="D402" s="8">
        <v>3</v>
      </c>
      <c r="E402" s="8">
        <v>208.97785601491171</v>
      </c>
      <c r="F402" s="9">
        <v>67618.053004467773</v>
      </c>
      <c r="G402" s="10">
        <v>-1</v>
      </c>
      <c r="H402" s="9">
        <v>90000</v>
      </c>
      <c r="I402" s="10">
        <v>1</v>
      </c>
      <c r="J402" s="9">
        <v>90000</v>
      </c>
      <c r="K402" s="9">
        <v>7095.1126915950908</v>
      </c>
      <c r="L402" s="10">
        <v>6</v>
      </c>
      <c r="M402" s="10">
        <v>0</v>
      </c>
      <c r="N402" s="9">
        <v>0</v>
      </c>
      <c r="O402" s="9">
        <f t="shared" si="2"/>
        <v>2250</v>
      </c>
      <c r="P402" s="9">
        <f t="shared" si="3"/>
        <v>1800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spans="1:42" ht="13.2" x14ac:dyDescent="0.25">
      <c r="A403" s="3" t="s">
        <v>286</v>
      </c>
      <c r="B403" s="7">
        <v>44197</v>
      </c>
      <c r="C403" s="3" t="s">
        <v>36</v>
      </c>
      <c r="D403" s="8">
        <v>22.112108426367381</v>
      </c>
      <c r="E403" s="8">
        <v>60</v>
      </c>
      <c r="F403" s="9">
        <v>32261.427225681964</v>
      </c>
      <c r="G403" s="10">
        <v>-1</v>
      </c>
      <c r="H403" s="9">
        <v>60000</v>
      </c>
      <c r="I403" s="10">
        <v>0</v>
      </c>
      <c r="J403" s="9">
        <v>0</v>
      </c>
      <c r="K403" s="9">
        <v>0</v>
      </c>
      <c r="L403" s="10">
        <v>0</v>
      </c>
      <c r="M403" s="10">
        <v>0</v>
      </c>
      <c r="N403" s="9">
        <v>0</v>
      </c>
      <c r="O403" s="9">
        <f t="shared" si="2"/>
        <v>0</v>
      </c>
      <c r="P403" s="9">
        <f t="shared" si="3"/>
        <v>0</v>
      </c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spans="1:42" ht="13.2" x14ac:dyDescent="0.25">
      <c r="A404" s="3" t="s">
        <v>287</v>
      </c>
      <c r="B404" s="7">
        <v>44197</v>
      </c>
      <c r="C404" s="3" t="s">
        <v>36</v>
      </c>
      <c r="D404" s="8">
        <v>56.189191505261057</v>
      </c>
      <c r="E404" s="8">
        <v>154.6288654582483</v>
      </c>
      <c r="F404" s="9">
        <v>7047.5108250705334</v>
      </c>
      <c r="G404" s="10">
        <v>0</v>
      </c>
      <c r="H404" s="9">
        <v>10000</v>
      </c>
      <c r="I404" s="10">
        <v>0</v>
      </c>
      <c r="J404" s="9">
        <v>0</v>
      </c>
      <c r="K404" s="9">
        <v>0</v>
      </c>
      <c r="L404" s="10">
        <v>0</v>
      </c>
      <c r="M404" s="10">
        <v>0</v>
      </c>
      <c r="N404" s="9">
        <v>0</v>
      </c>
      <c r="O404" s="9">
        <f t="shared" si="2"/>
        <v>0</v>
      </c>
      <c r="P404" s="9">
        <f t="shared" si="3"/>
        <v>0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spans="1:42" ht="13.2" x14ac:dyDescent="0.25">
      <c r="A405" s="3" t="s">
        <v>38</v>
      </c>
      <c r="B405" s="7">
        <v>44197</v>
      </c>
      <c r="C405" s="3" t="s">
        <v>39</v>
      </c>
      <c r="D405" s="8">
        <v>46.035243599875912</v>
      </c>
      <c r="E405" s="8">
        <v>259.34878508725944</v>
      </c>
      <c r="F405" s="9">
        <v>1379342.8436459461</v>
      </c>
      <c r="G405" s="10">
        <v>-1</v>
      </c>
      <c r="H405" s="9">
        <v>930000</v>
      </c>
      <c r="I405" s="10">
        <v>1</v>
      </c>
      <c r="J405" s="9">
        <v>930000</v>
      </c>
      <c r="K405" s="9">
        <v>191081.55835292058</v>
      </c>
      <c r="L405" s="10">
        <v>12</v>
      </c>
      <c r="M405" s="10">
        <v>0</v>
      </c>
      <c r="N405" s="9">
        <v>0</v>
      </c>
      <c r="O405" s="9">
        <f t="shared" si="2"/>
        <v>23250</v>
      </c>
      <c r="P405" s="9">
        <f t="shared" si="3"/>
        <v>18600</v>
      </c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spans="1:42" ht="13.2" x14ac:dyDescent="0.25">
      <c r="A406" s="3" t="s">
        <v>288</v>
      </c>
      <c r="B406" s="7">
        <v>44197</v>
      </c>
      <c r="C406" s="3" t="s">
        <v>36</v>
      </c>
      <c r="D406" s="8">
        <v>105.35713112881257</v>
      </c>
      <c r="E406" s="8">
        <v>324.77912807209628</v>
      </c>
      <c r="F406" s="9">
        <v>472858.69031357224</v>
      </c>
      <c r="G406" s="10">
        <v>-1</v>
      </c>
      <c r="H406" s="9">
        <v>320000</v>
      </c>
      <c r="I406" s="10">
        <v>1</v>
      </c>
      <c r="J406" s="9">
        <v>320000</v>
      </c>
      <c r="K406" s="9">
        <v>30885.272312239591</v>
      </c>
      <c r="L406" s="10">
        <v>6</v>
      </c>
      <c r="M406" s="10">
        <v>0</v>
      </c>
      <c r="N406" s="9">
        <v>0</v>
      </c>
      <c r="O406" s="9">
        <f t="shared" si="2"/>
        <v>8000</v>
      </c>
      <c r="P406" s="9">
        <f t="shared" si="3"/>
        <v>6400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spans="1:42" ht="13.2" x14ac:dyDescent="0.25">
      <c r="A407" s="3" t="s">
        <v>289</v>
      </c>
      <c r="B407" s="7">
        <v>44197</v>
      </c>
      <c r="C407" s="3" t="s">
        <v>39</v>
      </c>
      <c r="D407" s="8">
        <v>3</v>
      </c>
      <c r="E407" s="8">
        <v>216.36101043864102</v>
      </c>
      <c r="F407" s="9">
        <v>3612.4339079566853</v>
      </c>
      <c r="G407" s="10">
        <v>0</v>
      </c>
      <c r="H407" s="9">
        <v>5000</v>
      </c>
      <c r="I407" s="10">
        <v>1</v>
      </c>
      <c r="J407" s="9">
        <v>5000</v>
      </c>
      <c r="K407" s="9">
        <v>186.99513335731243</v>
      </c>
      <c r="L407" s="10">
        <v>6</v>
      </c>
      <c r="M407" s="10">
        <v>0</v>
      </c>
      <c r="N407" s="9">
        <v>0</v>
      </c>
      <c r="O407" s="9">
        <f t="shared" si="2"/>
        <v>125</v>
      </c>
      <c r="P407" s="9">
        <f t="shared" si="3"/>
        <v>100</v>
      </c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spans="1:42" ht="13.2" x14ac:dyDescent="0.25">
      <c r="A408" s="3" t="s">
        <v>290</v>
      </c>
      <c r="B408" s="7">
        <v>44197</v>
      </c>
      <c r="C408" s="3" t="s">
        <v>36</v>
      </c>
      <c r="D408" s="8">
        <v>20.306603154943762</v>
      </c>
      <c r="E408" s="8">
        <v>229.34049158750014</v>
      </c>
      <c r="F408" s="9">
        <v>10459.093840404119</v>
      </c>
      <c r="G408" s="10">
        <v>1</v>
      </c>
      <c r="H408" s="9">
        <v>10000</v>
      </c>
      <c r="I408" s="10">
        <v>0</v>
      </c>
      <c r="J408" s="9">
        <v>0</v>
      </c>
      <c r="K408" s="9">
        <v>0</v>
      </c>
      <c r="L408" s="10">
        <v>0</v>
      </c>
      <c r="M408" s="10">
        <v>0</v>
      </c>
      <c r="N408" s="9">
        <v>0</v>
      </c>
      <c r="O408" s="9">
        <f t="shared" si="2"/>
        <v>0</v>
      </c>
      <c r="P408" s="9">
        <f t="shared" si="3"/>
        <v>0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spans="1:42" ht="13.2" x14ac:dyDescent="0.25">
      <c r="A409" s="3" t="s">
        <v>177</v>
      </c>
      <c r="B409" s="7">
        <v>44197</v>
      </c>
      <c r="C409" s="3" t="s">
        <v>36</v>
      </c>
      <c r="D409" s="8">
        <v>139.24710830066996</v>
      </c>
      <c r="E409" s="8">
        <v>290.97803143500784</v>
      </c>
      <c r="F409" s="9">
        <v>28140.545888613851</v>
      </c>
      <c r="G409" s="10">
        <v>-1</v>
      </c>
      <c r="H409" s="9">
        <v>20000</v>
      </c>
      <c r="I409" s="10">
        <v>1</v>
      </c>
      <c r="J409" s="9">
        <v>20000</v>
      </c>
      <c r="K409" s="9">
        <v>993.66885323123404</v>
      </c>
      <c r="L409" s="10">
        <v>6</v>
      </c>
      <c r="M409" s="10">
        <v>0</v>
      </c>
      <c r="N409" s="9">
        <v>0</v>
      </c>
      <c r="O409" s="9">
        <f t="shared" si="2"/>
        <v>500</v>
      </c>
      <c r="P409" s="9">
        <f t="shared" si="3"/>
        <v>400</v>
      </c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spans="1:42" ht="13.2" x14ac:dyDescent="0.25">
      <c r="A410" s="3" t="s">
        <v>291</v>
      </c>
      <c r="B410" s="7">
        <v>44197</v>
      </c>
      <c r="C410" s="3" t="s">
        <v>36</v>
      </c>
      <c r="D410" s="8">
        <v>14.77960323480616</v>
      </c>
      <c r="E410" s="8">
        <v>60</v>
      </c>
      <c r="F410" s="9">
        <v>39710.491652453922</v>
      </c>
      <c r="G410" s="10">
        <v>0</v>
      </c>
      <c r="H410" s="9">
        <v>70000</v>
      </c>
      <c r="I410" s="10">
        <v>0</v>
      </c>
      <c r="J410" s="9">
        <v>0</v>
      </c>
      <c r="K410" s="9">
        <v>0</v>
      </c>
      <c r="L410" s="10">
        <v>0</v>
      </c>
      <c r="M410" s="10">
        <v>0</v>
      </c>
      <c r="N410" s="9">
        <v>0</v>
      </c>
      <c r="O410" s="9">
        <f t="shared" si="2"/>
        <v>0</v>
      </c>
      <c r="P410" s="9">
        <f t="shared" si="3"/>
        <v>0</v>
      </c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spans="1:42" ht="13.2" x14ac:dyDescent="0.25">
      <c r="A411" s="3" t="s">
        <v>292</v>
      </c>
      <c r="B411" s="7">
        <v>44197</v>
      </c>
      <c r="C411" s="3" t="s">
        <v>36</v>
      </c>
      <c r="D411" s="8">
        <v>68.532752127527729</v>
      </c>
      <c r="E411" s="8">
        <v>60</v>
      </c>
      <c r="F411" s="9">
        <v>198890.74457956036</v>
      </c>
      <c r="G411" s="10">
        <v>0</v>
      </c>
      <c r="H411" s="9">
        <v>250000</v>
      </c>
      <c r="I411" s="10">
        <v>0</v>
      </c>
      <c r="J411" s="9">
        <v>0</v>
      </c>
      <c r="K411" s="9">
        <v>0</v>
      </c>
      <c r="L411" s="10">
        <v>0</v>
      </c>
      <c r="M411" s="10">
        <v>0</v>
      </c>
      <c r="N411" s="9">
        <v>0</v>
      </c>
      <c r="O411" s="9">
        <f t="shared" si="2"/>
        <v>0</v>
      </c>
      <c r="P411" s="9">
        <f t="shared" si="3"/>
        <v>0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spans="1:42" ht="13.2" x14ac:dyDescent="0.25">
      <c r="A412" s="3" t="s">
        <v>293</v>
      </c>
      <c r="B412" s="7">
        <v>44197</v>
      </c>
      <c r="C412" s="3" t="s">
        <v>36</v>
      </c>
      <c r="D412" s="8">
        <v>3.9753922329193294</v>
      </c>
      <c r="E412" s="8">
        <v>60</v>
      </c>
      <c r="F412" s="9">
        <v>5847.0411912818217</v>
      </c>
      <c r="G412" s="10">
        <v>-1</v>
      </c>
      <c r="H412" s="9">
        <v>10000</v>
      </c>
      <c r="I412" s="10">
        <v>0</v>
      </c>
      <c r="J412" s="9">
        <v>0</v>
      </c>
      <c r="K412" s="9">
        <v>0</v>
      </c>
      <c r="L412" s="10">
        <v>0</v>
      </c>
      <c r="M412" s="10">
        <v>0</v>
      </c>
      <c r="N412" s="9">
        <v>0</v>
      </c>
      <c r="O412" s="9">
        <f t="shared" si="2"/>
        <v>0</v>
      </c>
      <c r="P412" s="9">
        <f t="shared" si="3"/>
        <v>0</v>
      </c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spans="1:42" ht="13.2" x14ac:dyDescent="0.25">
      <c r="A413" s="3" t="s">
        <v>294</v>
      </c>
      <c r="B413" s="7">
        <v>44197</v>
      </c>
      <c r="C413" s="3" t="s">
        <v>39</v>
      </c>
      <c r="D413" s="8">
        <v>4.0223708205697157</v>
      </c>
      <c r="E413" s="8">
        <v>89.093764049341161</v>
      </c>
      <c r="F413" s="9">
        <v>116183.72532743862</v>
      </c>
      <c r="G413" s="10">
        <v>1</v>
      </c>
      <c r="H413" s="9">
        <v>220000</v>
      </c>
      <c r="I413" s="10">
        <v>0</v>
      </c>
      <c r="J413" s="9">
        <v>0</v>
      </c>
      <c r="K413" s="9">
        <v>0</v>
      </c>
      <c r="L413" s="10">
        <v>0</v>
      </c>
      <c r="M413" s="10">
        <v>0</v>
      </c>
      <c r="N413" s="9">
        <v>0</v>
      </c>
      <c r="O413" s="9">
        <f t="shared" si="2"/>
        <v>0</v>
      </c>
      <c r="P413" s="9">
        <f t="shared" si="3"/>
        <v>0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spans="1:42" ht="13.2" x14ac:dyDescent="0.25">
      <c r="A414" s="3" t="s">
        <v>183</v>
      </c>
      <c r="B414" s="7">
        <v>44197</v>
      </c>
      <c r="C414" s="3" t="s">
        <v>36</v>
      </c>
      <c r="D414" s="8">
        <v>41.603156896470004</v>
      </c>
      <c r="E414" s="8">
        <v>263.64351623739213</v>
      </c>
      <c r="F414" s="9">
        <v>61568.87502914216</v>
      </c>
      <c r="G414" s="10">
        <v>1</v>
      </c>
      <c r="H414" s="9">
        <v>40000</v>
      </c>
      <c r="I414" s="10">
        <v>0</v>
      </c>
      <c r="J414" s="9">
        <v>0</v>
      </c>
      <c r="K414" s="9">
        <v>0</v>
      </c>
      <c r="L414" s="10">
        <v>0</v>
      </c>
      <c r="M414" s="10">
        <v>0</v>
      </c>
      <c r="N414" s="9">
        <v>0</v>
      </c>
      <c r="O414" s="9">
        <f t="shared" si="2"/>
        <v>0</v>
      </c>
      <c r="P414" s="9">
        <f t="shared" si="3"/>
        <v>0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spans="1:42" ht="13.2" x14ac:dyDescent="0.25">
      <c r="A415" s="3" t="s">
        <v>295</v>
      </c>
      <c r="B415" s="7">
        <v>44197</v>
      </c>
      <c r="C415" s="3" t="s">
        <v>36</v>
      </c>
      <c r="D415" s="8">
        <v>56.280180344470558</v>
      </c>
      <c r="E415" s="8">
        <v>232.50691265978793</v>
      </c>
      <c r="F415" s="9">
        <v>567689.27803658729</v>
      </c>
      <c r="G415" s="10">
        <v>-1</v>
      </c>
      <c r="H415" s="9">
        <v>380000</v>
      </c>
      <c r="I415" s="10">
        <v>1</v>
      </c>
      <c r="J415" s="9">
        <v>380000</v>
      </c>
      <c r="K415" s="9">
        <v>32968.117884887797</v>
      </c>
      <c r="L415" s="10">
        <v>6</v>
      </c>
      <c r="M415" s="10">
        <v>0</v>
      </c>
      <c r="N415" s="9">
        <v>0</v>
      </c>
      <c r="O415" s="9">
        <f t="shared" si="2"/>
        <v>9500</v>
      </c>
      <c r="P415" s="9">
        <f t="shared" si="3"/>
        <v>7600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spans="1:42" ht="13.2" x14ac:dyDescent="0.25">
      <c r="A416" s="3" t="s">
        <v>228</v>
      </c>
      <c r="B416" s="7">
        <v>44197</v>
      </c>
      <c r="C416" s="3" t="s">
        <v>39</v>
      </c>
      <c r="D416" s="8">
        <v>12.012507346006608</v>
      </c>
      <c r="E416" s="8">
        <v>146.53030393968859</v>
      </c>
      <c r="F416" s="9">
        <v>30639.182029316969</v>
      </c>
      <c r="G416" s="10">
        <v>-1</v>
      </c>
      <c r="H416" s="9">
        <v>50000</v>
      </c>
      <c r="I416" s="10">
        <v>1</v>
      </c>
      <c r="J416" s="9">
        <v>50000</v>
      </c>
      <c r="K416" s="9">
        <v>4366.9783244413893</v>
      </c>
      <c r="L416" s="10">
        <v>6</v>
      </c>
      <c r="M416" s="10">
        <v>0</v>
      </c>
      <c r="N416" s="9">
        <v>0</v>
      </c>
      <c r="O416" s="9">
        <f t="shared" si="2"/>
        <v>1250</v>
      </c>
      <c r="P416" s="9">
        <f t="shared" si="3"/>
        <v>1000</v>
      </c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spans="1:42" ht="13.2" x14ac:dyDescent="0.25">
      <c r="A417" s="3" t="s">
        <v>296</v>
      </c>
      <c r="B417" s="7">
        <v>44197</v>
      </c>
      <c r="C417" s="3" t="s">
        <v>63</v>
      </c>
      <c r="D417" s="8">
        <v>34.903420174597187</v>
      </c>
      <c r="E417" s="8">
        <v>238.71123283680279</v>
      </c>
      <c r="F417" s="9">
        <v>254368.63070356031</v>
      </c>
      <c r="G417" s="10">
        <v>-1</v>
      </c>
      <c r="H417" s="9">
        <v>290000</v>
      </c>
      <c r="I417" s="10">
        <v>0</v>
      </c>
      <c r="J417" s="9">
        <v>0</v>
      </c>
      <c r="K417" s="9">
        <v>0</v>
      </c>
      <c r="L417" s="10">
        <v>0</v>
      </c>
      <c r="M417" s="10">
        <v>0</v>
      </c>
      <c r="N417" s="9">
        <v>0</v>
      </c>
      <c r="O417" s="9">
        <f t="shared" si="2"/>
        <v>0</v>
      </c>
      <c r="P417" s="9">
        <f t="shared" si="3"/>
        <v>0</v>
      </c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spans="1:42" ht="13.2" x14ac:dyDescent="0.25">
      <c r="A418" s="3" t="s">
        <v>73</v>
      </c>
      <c r="B418" s="7">
        <v>44197</v>
      </c>
      <c r="C418" s="3" t="s">
        <v>39</v>
      </c>
      <c r="D418" s="8">
        <v>131.49830218159832</v>
      </c>
      <c r="E418" s="8">
        <v>93.643608038636714</v>
      </c>
      <c r="F418" s="9">
        <v>16953.849316381304</v>
      </c>
      <c r="G418" s="10">
        <v>-1</v>
      </c>
      <c r="H418" s="9">
        <v>20000</v>
      </c>
      <c r="I418" s="10">
        <v>1</v>
      </c>
      <c r="J418" s="9">
        <v>20000</v>
      </c>
      <c r="K418" s="9">
        <v>519.77248680025843</v>
      </c>
      <c r="L418" s="10">
        <v>2</v>
      </c>
      <c r="M418" s="10">
        <v>0</v>
      </c>
      <c r="N418" s="9">
        <v>0</v>
      </c>
      <c r="O418" s="9">
        <f t="shared" si="2"/>
        <v>500</v>
      </c>
      <c r="P418" s="9">
        <f t="shared" si="3"/>
        <v>400</v>
      </c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spans="1:42" ht="13.2" x14ac:dyDescent="0.25">
      <c r="A419" s="3" t="s">
        <v>297</v>
      </c>
      <c r="B419" s="7">
        <v>44197</v>
      </c>
      <c r="C419" s="3" t="s">
        <v>39</v>
      </c>
      <c r="D419" s="8">
        <v>56.693179502704645</v>
      </c>
      <c r="E419" s="8">
        <v>60</v>
      </c>
      <c r="F419" s="9">
        <v>65844.997027478967</v>
      </c>
      <c r="G419" s="10">
        <v>-1</v>
      </c>
      <c r="H419" s="9">
        <v>120000</v>
      </c>
      <c r="I419" s="10">
        <v>0</v>
      </c>
      <c r="J419" s="9">
        <v>0</v>
      </c>
      <c r="K419" s="9">
        <v>0</v>
      </c>
      <c r="L419" s="10">
        <v>0</v>
      </c>
      <c r="M419" s="10">
        <v>0</v>
      </c>
      <c r="N419" s="9">
        <v>0</v>
      </c>
      <c r="O419" s="9">
        <f t="shared" si="2"/>
        <v>0</v>
      </c>
      <c r="P419" s="9">
        <f t="shared" si="3"/>
        <v>0</v>
      </c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spans="1:42" ht="13.2" x14ac:dyDescent="0.25">
      <c r="A420" s="3" t="s">
        <v>298</v>
      </c>
      <c r="B420" s="7">
        <v>44197</v>
      </c>
      <c r="C420" s="3" t="s">
        <v>36</v>
      </c>
      <c r="D420" s="8">
        <v>4.6573356536360695</v>
      </c>
      <c r="E420" s="8">
        <v>158.68267784396986</v>
      </c>
      <c r="F420" s="9">
        <v>10750.392693019619</v>
      </c>
      <c r="G420" s="10">
        <v>0</v>
      </c>
      <c r="H420" s="9">
        <v>20000</v>
      </c>
      <c r="I420" s="10">
        <v>0</v>
      </c>
      <c r="J420" s="9">
        <v>0</v>
      </c>
      <c r="K420" s="9">
        <v>0</v>
      </c>
      <c r="L420" s="10">
        <v>0</v>
      </c>
      <c r="M420" s="10">
        <v>0</v>
      </c>
      <c r="N420" s="9">
        <v>0</v>
      </c>
      <c r="O420" s="9">
        <f t="shared" si="2"/>
        <v>0</v>
      </c>
      <c r="P420" s="9">
        <f t="shared" si="3"/>
        <v>0</v>
      </c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spans="1:42" ht="13.2" x14ac:dyDescent="0.25">
      <c r="A421" s="3" t="s">
        <v>299</v>
      </c>
      <c r="B421" s="7">
        <v>44197</v>
      </c>
      <c r="C421" s="3" t="s">
        <v>63</v>
      </c>
      <c r="D421" s="8">
        <v>17.245387099462345</v>
      </c>
      <c r="E421" s="8">
        <v>110.39113542645859</v>
      </c>
      <c r="F421" s="9">
        <v>34400.12354859888</v>
      </c>
      <c r="G421" s="10">
        <v>0</v>
      </c>
      <c r="H421" s="9">
        <v>50000</v>
      </c>
      <c r="I421" s="10">
        <v>1</v>
      </c>
      <c r="J421" s="9">
        <v>50000</v>
      </c>
      <c r="K421" s="9">
        <v>5572.6164973582963</v>
      </c>
      <c r="L421" s="10">
        <v>6</v>
      </c>
      <c r="M421" s="10">
        <v>0</v>
      </c>
      <c r="N421" s="9">
        <v>0</v>
      </c>
      <c r="O421" s="9">
        <f t="shared" si="2"/>
        <v>1250</v>
      </c>
      <c r="P421" s="9">
        <f t="shared" si="3"/>
        <v>1000</v>
      </c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spans="1:42" ht="13.2" x14ac:dyDescent="0.25">
      <c r="A422" s="3" t="s">
        <v>144</v>
      </c>
      <c r="B422" s="7">
        <v>44197</v>
      </c>
      <c r="C422" s="3" t="s">
        <v>36</v>
      </c>
      <c r="D422" s="8">
        <v>3.9779764175337107</v>
      </c>
      <c r="E422" s="8">
        <v>323.91851757632213</v>
      </c>
      <c r="F422" s="9">
        <v>86012.830440978738</v>
      </c>
      <c r="G422" s="10">
        <v>-1</v>
      </c>
      <c r="H422" s="9">
        <v>60000</v>
      </c>
      <c r="I422" s="10">
        <v>1</v>
      </c>
      <c r="J422" s="9">
        <v>60000</v>
      </c>
      <c r="K422" s="9">
        <v>3806.3692016940408</v>
      </c>
      <c r="L422" s="10">
        <v>6</v>
      </c>
      <c r="M422" s="10">
        <v>0</v>
      </c>
      <c r="N422" s="9">
        <v>0</v>
      </c>
      <c r="O422" s="9">
        <f t="shared" si="2"/>
        <v>1500</v>
      </c>
      <c r="P422" s="9">
        <f t="shared" si="3"/>
        <v>1200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spans="1:42" ht="13.2" x14ac:dyDescent="0.25">
      <c r="A423" s="3" t="s">
        <v>300</v>
      </c>
      <c r="B423" s="7">
        <v>44197</v>
      </c>
      <c r="C423" s="3" t="s">
        <v>39</v>
      </c>
      <c r="D423" s="8">
        <v>60.012047341426978</v>
      </c>
      <c r="E423" s="8">
        <v>60</v>
      </c>
      <c r="F423" s="9">
        <v>228293.82041156321</v>
      </c>
      <c r="G423" s="10">
        <v>0</v>
      </c>
      <c r="H423" s="9">
        <v>350000</v>
      </c>
      <c r="I423" s="10">
        <v>0</v>
      </c>
      <c r="J423" s="9">
        <v>0</v>
      </c>
      <c r="K423" s="9">
        <v>0</v>
      </c>
      <c r="L423" s="10">
        <v>0</v>
      </c>
      <c r="M423" s="10">
        <v>0</v>
      </c>
      <c r="N423" s="9">
        <v>0</v>
      </c>
      <c r="O423" s="9">
        <f t="shared" si="2"/>
        <v>0</v>
      </c>
      <c r="P423" s="9">
        <f t="shared" si="3"/>
        <v>0</v>
      </c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spans="1:42" ht="13.2" x14ac:dyDescent="0.25">
      <c r="A424" s="3" t="s">
        <v>239</v>
      </c>
      <c r="B424" s="7">
        <v>44197</v>
      </c>
      <c r="C424" s="3" t="s">
        <v>36</v>
      </c>
      <c r="D424" s="8">
        <v>3</v>
      </c>
      <c r="E424" s="8">
        <v>199.86053533141381</v>
      </c>
      <c r="F424" s="9">
        <v>22291.345126163644</v>
      </c>
      <c r="G424" s="10">
        <v>-1</v>
      </c>
      <c r="H424" s="9">
        <v>30000</v>
      </c>
      <c r="I424" s="10">
        <v>0</v>
      </c>
      <c r="J424" s="9">
        <v>0</v>
      </c>
      <c r="K424" s="9">
        <v>0</v>
      </c>
      <c r="L424" s="10">
        <v>0</v>
      </c>
      <c r="M424" s="10">
        <v>0</v>
      </c>
      <c r="N424" s="9">
        <v>0</v>
      </c>
      <c r="O424" s="9">
        <f t="shared" si="2"/>
        <v>0</v>
      </c>
      <c r="P424" s="9">
        <f t="shared" si="3"/>
        <v>0</v>
      </c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spans="1:42" ht="13.2" x14ac:dyDescent="0.25">
      <c r="A425" s="3" t="s">
        <v>248</v>
      </c>
      <c r="B425" s="7">
        <v>44197</v>
      </c>
      <c r="C425" s="3" t="s">
        <v>36</v>
      </c>
      <c r="D425" s="8">
        <v>29.319723705203266</v>
      </c>
      <c r="E425" s="8">
        <v>108.49020677823202</v>
      </c>
      <c r="F425" s="9">
        <v>97588.227747100493</v>
      </c>
      <c r="G425" s="10">
        <v>0</v>
      </c>
      <c r="H425" s="9">
        <v>171000</v>
      </c>
      <c r="I425" s="10">
        <v>0</v>
      </c>
      <c r="J425" s="9">
        <v>0</v>
      </c>
      <c r="K425" s="9">
        <v>0</v>
      </c>
      <c r="L425" s="10">
        <v>0</v>
      </c>
      <c r="M425" s="10">
        <v>0</v>
      </c>
      <c r="N425" s="9">
        <v>0</v>
      </c>
      <c r="O425" s="9">
        <f t="shared" si="2"/>
        <v>0</v>
      </c>
      <c r="P425" s="9">
        <f t="shared" si="3"/>
        <v>0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spans="1:42" ht="13.2" x14ac:dyDescent="0.25">
      <c r="A426" s="3" t="s">
        <v>58</v>
      </c>
      <c r="B426" s="7">
        <v>44197</v>
      </c>
      <c r="C426" s="3" t="s">
        <v>36</v>
      </c>
      <c r="D426" s="8">
        <v>38.940899901974383</v>
      </c>
      <c r="E426" s="8">
        <v>60</v>
      </c>
      <c r="F426" s="9">
        <v>59583.116406085857</v>
      </c>
      <c r="G426" s="10">
        <v>0</v>
      </c>
      <c r="H426" s="9">
        <v>80000</v>
      </c>
      <c r="I426" s="10">
        <v>0</v>
      </c>
      <c r="J426" s="9">
        <v>0</v>
      </c>
      <c r="K426" s="9">
        <v>0</v>
      </c>
      <c r="L426" s="10">
        <v>0</v>
      </c>
      <c r="M426" s="10">
        <v>0</v>
      </c>
      <c r="N426" s="9">
        <v>0</v>
      </c>
      <c r="O426" s="9">
        <f t="shared" si="2"/>
        <v>0</v>
      </c>
      <c r="P426" s="9">
        <f t="shared" si="3"/>
        <v>0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spans="1:42" ht="13.2" x14ac:dyDescent="0.25">
      <c r="A427" s="3" t="s">
        <v>301</v>
      </c>
      <c r="B427" s="7">
        <v>44197</v>
      </c>
      <c r="C427" s="3" t="s">
        <v>36</v>
      </c>
      <c r="D427" s="8">
        <v>3</v>
      </c>
      <c r="E427" s="8">
        <v>299.25949212169172</v>
      </c>
      <c r="F427" s="9">
        <v>442594.09306030074</v>
      </c>
      <c r="G427" s="10">
        <v>0</v>
      </c>
      <c r="H427" s="9">
        <v>380000</v>
      </c>
      <c r="I427" s="10">
        <v>0</v>
      </c>
      <c r="J427" s="9">
        <v>0</v>
      </c>
      <c r="K427" s="9">
        <v>0</v>
      </c>
      <c r="L427" s="10">
        <v>0</v>
      </c>
      <c r="M427" s="10">
        <v>0</v>
      </c>
      <c r="N427" s="9">
        <v>0</v>
      </c>
      <c r="O427" s="9">
        <f t="shared" si="2"/>
        <v>0</v>
      </c>
      <c r="P427" s="9">
        <f t="shared" si="3"/>
        <v>0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spans="1:42" ht="13.2" x14ac:dyDescent="0.25">
      <c r="A428" s="3" t="s">
        <v>302</v>
      </c>
      <c r="B428" s="7">
        <v>44197</v>
      </c>
      <c r="C428" s="3" t="s">
        <v>36</v>
      </c>
      <c r="D428" s="8">
        <v>16.377795655395037</v>
      </c>
      <c r="E428" s="8">
        <v>60</v>
      </c>
      <c r="F428" s="9">
        <v>16887.557324601632</v>
      </c>
      <c r="G428" s="10">
        <v>0</v>
      </c>
      <c r="H428" s="9">
        <v>30000</v>
      </c>
      <c r="I428" s="10">
        <v>1</v>
      </c>
      <c r="J428" s="9">
        <v>30000</v>
      </c>
      <c r="K428" s="9">
        <v>1541.540622842125</v>
      </c>
      <c r="L428" s="10">
        <v>6</v>
      </c>
      <c r="M428" s="10">
        <v>0</v>
      </c>
      <c r="N428" s="9">
        <v>0</v>
      </c>
      <c r="O428" s="9">
        <f t="shared" si="2"/>
        <v>750</v>
      </c>
      <c r="P428" s="9">
        <f t="shared" si="3"/>
        <v>600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spans="1:42" ht="13.2" x14ac:dyDescent="0.25">
      <c r="A429" s="3" t="s">
        <v>303</v>
      </c>
      <c r="B429" s="7">
        <v>44197</v>
      </c>
      <c r="C429" s="3" t="s">
        <v>36</v>
      </c>
      <c r="D429" s="8">
        <v>33.151128468129514</v>
      </c>
      <c r="E429" s="8">
        <v>227.81580121416468</v>
      </c>
      <c r="F429" s="9">
        <v>149182.94617597072</v>
      </c>
      <c r="G429" s="10">
        <v>0</v>
      </c>
      <c r="H429" s="9">
        <v>120000</v>
      </c>
      <c r="I429" s="10">
        <v>1</v>
      </c>
      <c r="J429" s="9">
        <v>120000</v>
      </c>
      <c r="K429" s="9">
        <v>3772.9409073233796</v>
      </c>
      <c r="L429" s="10">
        <v>6</v>
      </c>
      <c r="M429" s="10">
        <v>1</v>
      </c>
      <c r="N429" s="9">
        <v>56366.620425738271</v>
      </c>
      <c r="O429" s="9">
        <f t="shared" si="2"/>
        <v>3000</v>
      </c>
      <c r="P429" s="9">
        <f t="shared" si="3"/>
        <v>2400</v>
      </c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spans="1:42" ht="13.2" x14ac:dyDescent="0.25">
      <c r="A430" s="3" t="s">
        <v>78</v>
      </c>
      <c r="B430" s="7">
        <v>44197</v>
      </c>
      <c r="C430" s="3" t="s">
        <v>36</v>
      </c>
      <c r="D430" s="8">
        <v>43.953903588921264</v>
      </c>
      <c r="E430" s="8">
        <v>60</v>
      </c>
      <c r="F430" s="9">
        <v>63990.750630676332</v>
      </c>
      <c r="G430" s="10">
        <v>-1</v>
      </c>
      <c r="H430" s="9">
        <v>90000</v>
      </c>
      <c r="I430" s="10">
        <v>0</v>
      </c>
      <c r="J430" s="9">
        <v>0</v>
      </c>
      <c r="K430" s="9">
        <v>0</v>
      </c>
      <c r="L430" s="10">
        <v>0</v>
      </c>
      <c r="M430" s="10">
        <v>0</v>
      </c>
      <c r="N430" s="9">
        <v>0</v>
      </c>
      <c r="O430" s="9">
        <f t="shared" si="2"/>
        <v>0</v>
      </c>
      <c r="P430" s="9">
        <f t="shared" si="3"/>
        <v>0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spans="1:42" ht="13.2" x14ac:dyDescent="0.25">
      <c r="A431" s="3" t="s">
        <v>304</v>
      </c>
      <c r="B431" s="7">
        <v>44197</v>
      </c>
      <c r="C431" s="3" t="s">
        <v>39</v>
      </c>
      <c r="D431" s="8">
        <v>27.10694779312859</v>
      </c>
      <c r="E431" s="8">
        <v>60</v>
      </c>
      <c r="F431" s="9">
        <v>135184.92869060169</v>
      </c>
      <c r="G431" s="10">
        <v>0</v>
      </c>
      <c r="H431" s="9">
        <v>290000</v>
      </c>
      <c r="I431" s="10">
        <v>1</v>
      </c>
      <c r="J431" s="9">
        <v>290000</v>
      </c>
      <c r="K431" s="9">
        <v>21819.043444368079</v>
      </c>
      <c r="L431" s="10">
        <v>6</v>
      </c>
      <c r="M431" s="10">
        <v>0</v>
      </c>
      <c r="N431" s="9">
        <v>0</v>
      </c>
      <c r="O431" s="9">
        <f t="shared" si="2"/>
        <v>7250</v>
      </c>
      <c r="P431" s="9">
        <f t="shared" si="3"/>
        <v>5800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spans="1:42" ht="13.2" x14ac:dyDescent="0.25">
      <c r="A432" s="3" t="s">
        <v>82</v>
      </c>
      <c r="B432" s="7">
        <v>44197</v>
      </c>
      <c r="C432" s="3" t="s">
        <v>36</v>
      </c>
      <c r="D432" s="8">
        <v>116.37276959740241</v>
      </c>
      <c r="E432" s="8">
        <v>108.05268960801921</v>
      </c>
      <c r="F432" s="9">
        <v>34693.180617792153</v>
      </c>
      <c r="G432" s="10">
        <v>1</v>
      </c>
      <c r="H432" s="9">
        <v>30000</v>
      </c>
      <c r="I432" s="10">
        <v>0</v>
      </c>
      <c r="J432" s="9">
        <v>0</v>
      </c>
      <c r="K432" s="9">
        <v>0</v>
      </c>
      <c r="L432" s="10">
        <v>0</v>
      </c>
      <c r="M432" s="10">
        <v>0</v>
      </c>
      <c r="N432" s="9">
        <v>0</v>
      </c>
      <c r="O432" s="9">
        <f t="shared" si="2"/>
        <v>0</v>
      </c>
      <c r="P432" s="9">
        <f t="shared" si="3"/>
        <v>0</v>
      </c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spans="1:42" ht="13.2" x14ac:dyDescent="0.25">
      <c r="A433" s="3" t="s">
        <v>305</v>
      </c>
      <c r="B433" s="7">
        <v>44197</v>
      </c>
      <c r="C433" s="3" t="s">
        <v>36</v>
      </c>
      <c r="D433" s="8">
        <v>3</v>
      </c>
      <c r="E433" s="8">
        <v>360.14618824128837</v>
      </c>
      <c r="F433" s="9">
        <v>58956.9316715573</v>
      </c>
      <c r="G433" s="10">
        <v>1</v>
      </c>
      <c r="H433" s="9">
        <v>40000</v>
      </c>
      <c r="I433" s="10">
        <v>0</v>
      </c>
      <c r="J433" s="9">
        <v>0</v>
      </c>
      <c r="K433" s="9">
        <v>0</v>
      </c>
      <c r="L433" s="10">
        <v>0</v>
      </c>
      <c r="M433" s="10">
        <v>0</v>
      </c>
      <c r="N433" s="9">
        <v>0</v>
      </c>
      <c r="O433" s="9">
        <f t="shared" si="2"/>
        <v>0</v>
      </c>
      <c r="P433" s="9">
        <f t="shared" si="3"/>
        <v>0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spans="1:42" ht="13.2" x14ac:dyDescent="0.25">
      <c r="A434" s="3" t="s">
        <v>306</v>
      </c>
      <c r="B434" s="7">
        <v>44228</v>
      </c>
      <c r="C434" s="3" t="s">
        <v>39</v>
      </c>
      <c r="D434" s="8">
        <v>65.856749834587916</v>
      </c>
      <c r="E434" s="8">
        <v>63.549952819139563</v>
      </c>
      <c r="F434" s="9">
        <v>198940.88650395651</v>
      </c>
      <c r="G434" s="10">
        <v>0</v>
      </c>
      <c r="H434" s="9">
        <v>202000</v>
      </c>
      <c r="I434" s="10">
        <v>1</v>
      </c>
      <c r="J434" s="9">
        <v>202000</v>
      </c>
      <c r="K434" s="9">
        <v>39089.618012375904</v>
      </c>
      <c r="L434" s="10">
        <v>12</v>
      </c>
      <c r="M434" s="10">
        <v>0</v>
      </c>
      <c r="N434" s="9">
        <v>0</v>
      </c>
      <c r="O434" s="9">
        <f t="shared" si="2"/>
        <v>5050</v>
      </c>
      <c r="P434" s="9">
        <f t="shared" si="3"/>
        <v>4040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spans="1:42" ht="13.2" x14ac:dyDescent="0.25">
      <c r="A435" s="3" t="s">
        <v>307</v>
      </c>
      <c r="B435" s="7">
        <v>44228</v>
      </c>
      <c r="C435" s="3" t="s">
        <v>36</v>
      </c>
      <c r="D435" s="8">
        <v>62.72718572485681</v>
      </c>
      <c r="E435" s="8">
        <v>215.713882935404</v>
      </c>
      <c r="F435" s="9">
        <v>91426.090897875591</v>
      </c>
      <c r="G435" s="10">
        <v>0</v>
      </c>
      <c r="H435" s="9">
        <v>60000</v>
      </c>
      <c r="I435" s="10">
        <v>1</v>
      </c>
      <c r="J435" s="9">
        <v>60000</v>
      </c>
      <c r="K435" s="9">
        <v>2083.8466555054865</v>
      </c>
      <c r="L435" s="10">
        <v>6</v>
      </c>
      <c r="M435" s="10">
        <v>0</v>
      </c>
      <c r="N435" s="9">
        <v>0</v>
      </c>
      <c r="O435" s="9">
        <f t="shared" si="2"/>
        <v>1500</v>
      </c>
      <c r="P435" s="9">
        <f t="shared" si="3"/>
        <v>1200</v>
      </c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spans="1:42" ht="13.2" x14ac:dyDescent="0.25">
      <c r="A436" s="3" t="s">
        <v>95</v>
      </c>
      <c r="B436" s="7">
        <v>44228</v>
      </c>
      <c r="C436" s="3" t="s">
        <v>36</v>
      </c>
      <c r="D436" s="8">
        <v>7.5038370615347194</v>
      </c>
      <c r="E436" s="8">
        <v>269.21081276583777</v>
      </c>
      <c r="F436" s="9">
        <v>698791.89655318554</v>
      </c>
      <c r="G436" s="10">
        <v>-1</v>
      </c>
      <c r="H436" s="9">
        <v>450000</v>
      </c>
      <c r="I436" s="10">
        <v>1</v>
      </c>
      <c r="J436" s="9">
        <v>450000</v>
      </c>
      <c r="K436" s="9">
        <v>29342.731190771097</v>
      </c>
      <c r="L436" s="10">
        <v>7</v>
      </c>
      <c r="M436" s="10">
        <v>0</v>
      </c>
      <c r="N436" s="9">
        <v>0</v>
      </c>
      <c r="O436" s="9">
        <f t="shared" si="2"/>
        <v>11250</v>
      </c>
      <c r="P436" s="9">
        <f t="shared" si="3"/>
        <v>9000</v>
      </c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spans="1:42" ht="13.2" x14ac:dyDescent="0.25">
      <c r="A437" s="3" t="s">
        <v>308</v>
      </c>
      <c r="B437" s="7">
        <v>44228</v>
      </c>
      <c r="C437" s="3" t="s">
        <v>36</v>
      </c>
      <c r="D437" s="8">
        <v>136.54459261632144</v>
      </c>
      <c r="E437" s="8">
        <v>238.45397985056223</v>
      </c>
      <c r="F437" s="9">
        <v>419253.48170713946</v>
      </c>
      <c r="G437" s="10">
        <v>1</v>
      </c>
      <c r="H437" s="9">
        <v>270000</v>
      </c>
      <c r="I437" s="10">
        <v>1</v>
      </c>
      <c r="J437" s="9">
        <v>270000</v>
      </c>
      <c r="K437" s="9">
        <v>8626.6993220240147</v>
      </c>
      <c r="L437" s="10">
        <v>6</v>
      </c>
      <c r="M437" s="10">
        <v>0</v>
      </c>
      <c r="N437" s="9">
        <v>0</v>
      </c>
      <c r="O437" s="9">
        <f t="shared" si="2"/>
        <v>6750</v>
      </c>
      <c r="P437" s="9">
        <f t="shared" si="3"/>
        <v>5400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spans="1:42" ht="13.2" x14ac:dyDescent="0.25">
      <c r="A438" s="3" t="s">
        <v>309</v>
      </c>
      <c r="B438" s="7">
        <v>44228</v>
      </c>
      <c r="C438" s="3" t="s">
        <v>39</v>
      </c>
      <c r="D438" s="8">
        <v>3</v>
      </c>
      <c r="E438" s="8">
        <v>195.05600486310723</v>
      </c>
      <c r="F438" s="9">
        <v>10499.639623096607</v>
      </c>
      <c r="G438" s="10">
        <v>1</v>
      </c>
      <c r="H438" s="9">
        <v>10000</v>
      </c>
      <c r="I438" s="10">
        <v>1</v>
      </c>
      <c r="J438" s="9">
        <v>10000</v>
      </c>
      <c r="K438" s="9">
        <v>1107.8664823361582</v>
      </c>
      <c r="L438" s="10">
        <v>6</v>
      </c>
      <c r="M438" s="10">
        <v>0</v>
      </c>
      <c r="N438" s="9">
        <v>0</v>
      </c>
      <c r="O438" s="9">
        <f t="shared" si="2"/>
        <v>250</v>
      </c>
      <c r="P438" s="9">
        <f t="shared" si="3"/>
        <v>200</v>
      </c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spans="1:42" ht="13.2" x14ac:dyDescent="0.25">
      <c r="A439" s="3" t="s">
        <v>310</v>
      </c>
      <c r="B439" s="7">
        <v>44228</v>
      </c>
      <c r="C439" s="3" t="s">
        <v>36</v>
      </c>
      <c r="D439" s="8">
        <v>103.59165033941754</v>
      </c>
      <c r="E439" s="8">
        <v>60</v>
      </c>
      <c r="F439" s="9">
        <v>992415.18783594412</v>
      </c>
      <c r="G439" s="10">
        <v>-1</v>
      </c>
      <c r="H439" s="9">
        <v>890000</v>
      </c>
      <c r="I439" s="10">
        <v>1</v>
      </c>
      <c r="J439" s="9">
        <v>890000</v>
      </c>
      <c r="K439" s="9">
        <v>64705.728535108254</v>
      </c>
      <c r="L439" s="10">
        <v>6</v>
      </c>
      <c r="M439" s="10">
        <v>0</v>
      </c>
      <c r="N439" s="9">
        <v>0</v>
      </c>
      <c r="O439" s="9">
        <f t="shared" si="2"/>
        <v>22250</v>
      </c>
      <c r="P439" s="9">
        <f t="shared" si="3"/>
        <v>17800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spans="1:42" ht="13.2" x14ac:dyDescent="0.25">
      <c r="A440" s="3" t="s">
        <v>175</v>
      </c>
      <c r="B440" s="7">
        <v>44228</v>
      </c>
      <c r="C440" s="3" t="s">
        <v>36</v>
      </c>
      <c r="D440" s="8">
        <v>29.534408502368798</v>
      </c>
      <c r="E440" s="8">
        <v>60</v>
      </c>
      <c r="F440" s="9">
        <v>89872.418217571452</v>
      </c>
      <c r="G440" s="10">
        <v>-1</v>
      </c>
      <c r="H440" s="9">
        <v>140000</v>
      </c>
      <c r="I440" s="10">
        <v>0</v>
      </c>
      <c r="J440" s="9">
        <v>0</v>
      </c>
      <c r="K440" s="9">
        <v>0</v>
      </c>
      <c r="L440" s="10">
        <v>0</v>
      </c>
      <c r="M440" s="10">
        <v>0</v>
      </c>
      <c r="N440" s="9">
        <v>0</v>
      </c>
      <c r="O440" s="9">
        <f t="shared" si="2"/>
        <v>0</v>
      </c>
      <c r="P440" s="9">
        <f t="shared" si="3"/>
        <v>0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spans="1:42" ht="13.2" x14ac:dyDescent="0.25">
      <c r="A441" s="3" t="s">
        <v>311</v>
      </c>
      <c r="B441" s="7">
        <v>44228</v>
      </c>
      <c r="C441" s="3" t="s">
        <v>39</v>
      </c>
      <c r="D441" s="8">
        <v>83.262124942271868</v>
      </c>
      <c r="E441" s="8">
        <v>262.26938289783516</v>
      </c>
      <c r="F441" s="9">
        <v>171332.35003427116</v>
      </c>
      <c r="G441" s="10">
        <v>1</v>
      </c>
      <c r="H441" s="9">
        <v>150000</v>
      </c>
      <c r="I441" s="10">
        <v>1</v>
      </c>
      <c r="J441" s="9">
        <v>150000</v>
      </c>
      <c r="K441" s="9">
        <v>21814.753422685324</v>
      </c>
      <c r="L441" s="10">
        <v>6</v>
      </c>
      <c r="M441" s="10">
        <v>0</v>
      </c>
      <c r="N441" s="9">
        <v>0</v>
      </c>
      <c r="O441" s="9">
        <f t="shared" si="2"/>
        <v>3750</v>
      </c>
      <c r="P441" s="9">
        <f t="shared" si="3"/>
        <v>3000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spans="1:42" ht="13.2" x14ac:dyDescent="0.25">
      <c r="A442" s="3" t="s">
        <v>312</v>
      </c>
      <c r="B442" s="7">
        <v>44228</v>
      </c>
      <c r="C442" s="3" t="s">
        <v>36</v>
      </c>
      <c r="D442" s="8">
        <v>35.366783659493713</v>
      </c>
      <c r="E442" s="8">
        <v>364.30797773639495</v>
      </c>
      <c r="F442" s="9">
        <v>72855.061966715803</v>
      </c>
      <c r="G442" s="10">
        <v>1</v>
      </c>
      <c r="H442" s="9">
        <v>50000</v>
      </c>
      <c r="I442" s="10">
        <v>1</v>
      </c>
      <c r="J442" s="9">
        <v>50000</v>
      </c>
      <c r="K442" s="9">
        <v>4597.081070643836</v>
      </c>
      <c r="L442" s="10">
        <v>6</v>
      </c>
      <c r="M442" s="10">
        <v>0</v>
      </c>
      <c r="N442" s="9">
        <v>0</v>
      </c>
      <c r="O442" s="9">
        <f t="shared" si="2"/>
        <v>1250</v>
      </c>
      <c r="P442" s="9">
        <f t="shared" si="3"/>
        <v>1000</v>
      </c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spans="1:42" ht="13.2" x14ac:dyDescent="0.25">
      <c r="A443" s="3" t="s">
        <v>313</v>
      </c>
      <c r="B443" s="7">
        <v>44228</v>
      </c>
      <c r="C443" s="3" t="s">
        <v>39</v>
      </c>
      <c r="D443" s="8">
        <v>168.75586895273847</v>
      </c>
      <c r="E443" s="8">
        <v>226.87735649057282</v>
      </c>
      <c r="F443" s="9">
        <v>464191.73198823963</v>
      </c>
      <c r="G443" s="10">
        <v>-1</v>
      </c>
      <c r="H443" s="9">
        <v>300000</v>
      </c>
      <c r="I443" s="10">
        <v>0</v>
      </c>
      <c r="J443" s="9">
        <v>0</v>
      </c>
      <c r="K443" s="9">
        <v>0</v>
      </c>
      <c r="L443" s="10">
        <v>0</v>
      </c>
      <c r="M443" s="10">
        <v>0</v>
      </c>
      <c r="N443" s="9">
        <v>0</v>
      </c>
      <c r="O443" s="9">
        <f t="shared" si="2"/>
        <v>0</v>
      </c>
      <c r="P443" s="9">
        <f t="shared" si="3"/>
        <v>0</v>
      </c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spans="1:42" ht="13.2" x14ac:dyDescent="0.25">
      <c r="A444" s="3" t="s">
        <v>314</v>
      </c>
      <c r="B444" s="7">
        <v>44228</v>
      </c>
      <c r="C444" s="3" t="s">
        <v>36</v>
      </c>
      <c r="D444" s="8">
        <v>3</v>
      </c>
      <c r="E444" s="8">
        <v>208.03749174474621</v>
      </c>
      <c r="F444" s="9">
        <v>915116.43088170991</v>
      </c>
      <c r="G444" s="10">
        <v>1</v>
      </c>
      <c r="H444" s="9">
        <v>1390000</v>
      </c>
      <c r="I444" s="10">
        <v>1</v>
      </c>
      <c r="J444" s="9">
        <v>1390000</v>
      </c>
      <c r="K444" s="9">
        <v>156102.86089661453</v>
      </c>
      <c r="L444" s="10">
        <v>7</v>
      </c>
      <c r="M444" s="10">
        <v>0</v>
      </c>
      <c r="N444" s="9">
        <v>0</v>
      </c>
      <c r="O444" s="9">
        <f t="shared" si="2"/>
        <v>34750</v>
      </c>
      <c r="P444" s="9">
        <f t="shared" si="3"/>
        <v>27800</v>
      </c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spans="1:42" ht="13.2" x14ac:dyDescent="0.25">
      <c r="A445" s="3" t="s">
        <v>139</v>
      </c>
      <c r="B445" s="7">
        <v>44228</v>
      </c>
      <c r="C445" s="3" t="s">
        <v>36</v>
      </c>
      <c r="D445" s="8">
        <v>36.302592568974518</v>
      </c>
      <c r="E445" s="8">
        <v>199.942568707161</v>
      </c>
      <c r="F445" s="9">
        <v>357413.85628930753</v>
      </c>
      <c r="G445" s="10">
        <v>-1</v>
      </c>
      <c r="H445" s="9">
        <v>230000</v>
      </c>
      <c r="I445" s="10">
        <v>1</v>
      </c>
      <c r="J445" s="9">
        <v>230000</v>
      </c>
      <c r="K445" s="9">
        <v>15600.605750298837</v>
      </c>
      <c r="L445" s="10">
        <v>6</v>
      </c>
      <c r="M445" s="10">
        <v>0</v>
      </c>
      <c r="N445" s="9">
        <v>0</v>
      </c>
      <c r="O445" s="9">
        <f t="shared" si="2"/>
        <v>5750</v>
      </c>
      <c r="P445" s="9">
        <f t="shared" si="3"/>
        <v>4600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spans="1:42" ht="13.2" x14ac:dyDescent="0.25">
      <c r="A446" s="3" t="s">
        <v>315</v>
      </c>
      <c r="B446" s="7">
        <v>44228</v>
      </c>
      <c r="C446" s="3" t="s">
        <v>39</v>
      </c>
      <c r="D446" s="8">
        <v>5.3233255986825885</v>
      </c>
      <c r="E446" s="8">
        <v>308.38459793994781</v>
      </c>
      <c r="F446" s="9">
        <v>7793.294081720006</v>
      </c>
      <c r="G446" s="10">
        <v>-1</v>
      </c>
      <c r="H446" s="9">
        <v>10000</v>
      </c>
      <c r="I446" s="10">
        <v>1</v>
      </c>
      <c r="J446" s="9">
        <v>10000</v>
      </c>
      <c r="K446" s="9">
        <v>457.86983259148639</v>
      </c>
      <c r="L446" s="10">
        <v>6</v>
      </c>
      <c r="M446" s="10">
        <v>0</v>
      </c>
      <c r="N446" s="9">
        <v>0</v>
      </c>
      <c r="O446" s="9">
        <f t="shared" si="2"/>
        <v>250</v>
      </c>
      <c r="P446" s="9">
        <f t="shared" si="3"/>
        <v>200</v>
      </c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spans="1:42" ht="13.2" x14ac:dyDescent="0.25">
      <c r="A447" s="3" t="s">
        <v>230</v>
      </c>
      <c r="B447" s="7">
        <v>44228</v>
      </c>
      <c r="C447" s="3" t="s">
        <v>36</v>
      </c>
      <c r="D447" s="8">
        <v>3</v>
      </c>
      <c r="E447" s="8">
        <v>60</v>
      </c>
      <c r="F447" s="9">
        <v>6107.9100963159708</v>
      </c>
      <c r="G447" s="10">
        <v>1</v>
      </c>
      <c r="H447" s="9">
        <v>10000</v>
      </c>
      <c r="I447" s="10">
        <v>0</v>
      </c>
      <c r="J447" s="9">
        <v>0</v>
      </c>
      <c r="K447" s="9">
        <v>0</v>
      </c>
      <c r="L447" s="10">
        <v>0</v>
      </c>
      <c r="M447" s="10">
        <v>0</v>
      </c>
      <c r="N447" s="9">
        <v>0</v>
      </c>
      <c r="O447" s="9">
        <f t="shared" si="2"/>
        <v>0</v>
      </c>
      <c r="P447" s="9">
        <f t="shared" si="3"/>
        <v>0</v>
      </c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spans="1:42" ht="13.2" x14ac:dyDescent="0.25">
      <c r="A448" s="3" t="s">
        <v>227</v>
      </c>
      <c r="B448" s="7">
        <v>44228</v>
      </c>
      <c r="C448" s="3" t="s">
        <v>36</v>
      </c>
      <c r="D448" s="8">
        <v>3</v>
      </c>
      <c r="E448" s="8">
        <v>60</v>
      </c>
      <c r="F448" s="9">
        <v>6788.1484345386179</v>
      </c>
      <c r="G448" s="10">
        <v>-1</v>
      </c>
      <c r="H448" s="9">
        <v>10000</v>
      </c>
      <c r="I448" s="10">
        <v>0</v>
      </c>
      <c r="J448" s="9">
        <v>0</v>
      </c>
      <c r="K448" s="9">
        <v>0</v>
      </c>
      <c r="L448" s="10">
        <v>0</v>
      </c>
      <c r="M448" s="10">
        <v>0</v>
      </c>
      <c r="N448" s="9">
        <v>0</v>
      </c>
      <c r="O448" s="9">
        <f t="shared" si="2"/>
        <v>0</v>
      </c>
      <c r="P448" s="9">
        <f t="shared" si="3"/>
        <v>0</v>
      </c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spans="1:42" ht="13.2" x14ac:dyDescent="0.25">
      <c r="A449" s="3" t="s">
        <v>316</v>
      </c>
      <c r="B449" s="7">
        <v>44228</v>
      </c>
      <c r="C449" s="3" t="s">
        <v>39</v>
      </c>
      <c r="D449" s="8">
        <v>3</v>
      </c>
      <c r="E449" s="8">
        <v>225.31064877653245</v>
      </c>
      <c r="F449" s="9">
        <v>13520.263312934427</v>
      </c>
      <c r="G449" s="10">
        <v>1</v>
      </c>
      <c r="H449" s="9">
        <v>20000</v>
      </c>
      <c r="I449" s="10">
        <v>0</v>
      </c>
      <c r="J449" s="9">
        <v>0</v>
      </c>
      <c r="K449" s="9">
        <v>0</v>
      </c>
      <c r="L449" s="10">
        <v>0</v>
      </c>
      <c r="M449" s="10">
        <v>0</v>
      </c>
      <c r="N449" s="9">
        <v>0</v>
      </c>
      <c r="O449" s="9">
        <f t="shared" si="2"/>
        <v>0</v>
      </c>
      <c r="P449" s="9">
        <f t="shared" si="3"/>
        <v>0</v>
      </c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spans="1:42" ht="13.2" x14ac:dyDescent="0.25">
      <c r="A450" s="3" t="s">
        <v>317</v>
      </c>
      <c r="B450" s="7">
        <v>44228</v>
      </c>
      <c r="C450" s="3" t="s">
        <v>36</v>
      </c>
      <c r="D450" s="8">
        <v>3</v>
      </c>
      <c r="E450" s="8">
        <v>189.87327854525307</v>
      </c>
      <c r="F450" s="9">
        <v>2146.3429526933719</v>
      </c>
      <c r="G450" s="10">
        <v>1</v>
      </c>
      <c r="H450" s="9">
        <v>2142.8571428571427</v>
      </c>
      <c r="I450" s="10">
        <v>0</v>
      </c>
      <c r="J450" s="9">
        <v>0</v>
      </c>
      <c r="K450" s="9">
        <v>0</v>
      </c>
      <c r="L450" s="10">
        <v>0</v>
      </c>
      <c r="M450" s="10">
        <v>0</v>
      </c>
      <c r="N450" s="9">
        <v>0</v>
      </c>
      <c r="O450" s="9">
        <f t="shared" si="2"/>
        <v>0</v>
      </c>
      <c r="P450" s="9">
        <f t="shared" si="3"/>
        <v>0</v>
      </c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spans="1:42" ht="13.2" x14ac:dyDescent="0.25">
      <c r="A451" s="3" t="s">
        <v>318</v>
      </c>
      <c r="B451" s="7">
        <v>44228</v>
      </c>
      <c r="C451" s="3" t="s">
        <v>39</v>
      </c>
      <c r="D451" s="8">
        <v>7.9546333242868599</v>
      </c>
      <c r="E451" s="8">
        <v>217.23129686527139</v>
      </c>
      <c r="F451" s="9">
        <v>137622.26473645787</v>
      </c>
      <c r="G451" s="10">
        <v>0</v>
      </c>
      <c r="H451" s="9">
        <v>120000</v>
      </c>
      <c r="I451" s="10">
        <v>1</v>
      </c>
      <c r="J451" s="9">
        <v>120000</v>
      </c>
      <c r="K451" s="9">
        <v>18165.613784173434</v>
      </c>
      <c r="L451" s="10">
        <v>9</v>
      </c>
      <c r="M451" s="10">
        <v>0</v>
      </c>
      <c r="N451" s="9">
        <v>0</v>
      </c>
      <c r="O451" s="9">
        <f t="shared" si="2"/>
        <v>3000</v>
      </c>
      <c r="P451" s="9">
        <f t="shared" si="3"/>
        <v>2400</v>
      </c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spans="1:42" ht="13.2" x14ac:dyDescent="0.25">
      <c r="A452" s="3" t="s">
        <v>319</v>
      </c>
      <c r="B452" s="7">
        <v>44228</v>
      </c>
      <c r="C452" s="3" t="s">
        <v>36</v>
      </c>
      <c r="D452" s="8">
        <v>5.1900812195590387</v>
      </c>
      <c r="E452" s="8">
        <v>246.56596532670991</v>
      </c>
      <c r="F452" s="9">
        <v>94039.730075765576</v>
      </c>
      <c r="G452" s="10">
        <v>0</v>
      </c>
      <c r="H452" s="9">
        <v>80000</v>
      </c>
      <c r="I452" s="10">
        <v>1</v>
      </c>
      <c r="J452" s="9">
        <v>80000</v>
      </c>
      <c r="K452" s="9">
        <v>10854.421505700693</v>
      </c>
      <c r="L452" s="10">
        <v>6</v>
      </c>
      <c r="M452" s="10">
        <v>0</v>
      </c>
      <c r="N452" s="9">
        <v>0</v>
      </c>
      <c r="O452" s="9">
        <f t="shared" si="2"/>
        <v>2000</v>
      </c>
      <c r="P452" s="9">
        <f t="shared" si="3"/>
        <v>1600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spans="1:42" ht="13.2" x14ac:dyDescent="0.25">
      <c r="A453" s="3" t="s">
        <v>320</v>
      </c>
      <c r="B453" s="7">
        <v>44228</v>
      </c>
      <c r="C453" s="3" t="s">
        <v>36</v>
      </c>
      <c r="D453" s="8">
        <v>24.889396669504215</v>
      </c>
      <c r="E453" s="8">
        <v>60</v>
      </c>
      <c r="F453" s="9">
        <v>12458.103853635239</v>
      </c>
      <c r="G453" s="10">
        <v>-1</v>
      </c>
      <c r="H453" s="9">
        <v>20000</v>
      </c>
      <c r="I453" s="10">
        <v>1</v>
      </c>
      <c r="J453" s="9">
        <v>20000</v>
      </c>
      <c r="K453" s="9">
        <v>2002.4527003871694</v>
      </c>
      <c r="L453" s="10">
        <v>6</v>
      </c>
      <c r="M453" s="10">
        <v>0</v>
      </c>
      <c r="N453" s="9">
        <v>0</v>
      </c>
      <c r="O453" s="9">
        <f t="shared" si="2"/>
        <v>500</v>
      </c>
      <c r="P453" s="9">
        <f t="shared" si="3"/>
        <v>400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spans="1:42" ht="13.2" x14ac:dyDescent="0.25">
      <c r="A454" s="3" t="s">
        <v>85</v>
      </c>
      <c r="B454" s="7">
        <v>44228</v>
      </c>
      <c r="C454" s="3" t="s">
        <v>36</v>
      </c>
      <c r="D454" s="8">
        <v>21.280927491864531</v>
      </c>
      <c r="E454" s="8">
        <v>60</v>
      </c>
      <c r="F454" s="9">
        <v>60998.599181032885</v>
      </c>
      <c r="G454" s="10">
        <v>-1</v>
      </c>
      <c r="H454" s="9">
        <v>100000</v>
      </c>
      <c r="I454" s="10">
        <v>1</v>
      </c>
      <c r="J454" s="9">
        <v>100000</v>
      </c>
      <c r="K454" s="9">
        <v>12151.252995996803</v>
      </c>
      <c r="L454" s="10">
        <v>6</v>
      </c>
      <c r="M454" s="10">
        <v>0</v>
      </c>
      <c r="N454" s="9">
        <v>0</v>
      </c>
      <c r="O454" s="9">
        <f t="shared" si="2"/>
        <v>2500</v>
      </c>
      <c r="P454" s="9">
        <f t="shared" si="3"/>
        <v>2000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spans="1:42" ht="13.2" x14ac:dyDescent="0.25">
      <c r="A455" s="3" t="s">
        <v>321</v>
      </c>
      <c r="B455" s="7">
        <v>44228</v>
      </c>
      <c r="C455" s="3" t="s">
        <v>36</v>
      </c>
      <c r="D455" s="8">
        <v>60.295208158745709</v>
      </c>
      <c r="E455" s="8">
        <v>215.58854361400165</v>
      </c>
      <c r="F455" s="9">
        <v>270222.57660599716</v>
      </c>
      <c r="G455" s="10">
        <v>0</v>
      </c>
      <c r="H455" s="9">
        <v>340000</v>
      </c>
      <c r="I455" s="10">
        <v>1</v>
      </c>
      <c r="J455" s="9">
        <v>340000</v>
      </c>
      <c r="K455" s="9">
        <v>34555.929948169112</v>
      </c>
      <c r="L455" s="10">
        <v>6</v>
      </c>
      <c r="M455" s="10">
        <v>1</v>
      </c>
      <c r="N455" s="9">
        <v>130000</v>
      </c>
      <c r="O455" s="9">
        <f t="shared" si="2"/>
        <v>8500</v>
      </c>
      <c r="P455" s="9">
        <f t="shared" si="3"/>
        <v>6800</v>
      </c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spans="1:42" ht="13.2" x14ac:dyDescent="0.25">
      <c r="A456" s="3" t="s">
        <v>322</v>
      </c>
      <c r="B456" s="7">
        <v>44228</v>
      </c>
      <c r="C456" s="3" t="s">
        <v>39</v>
      </c>
      <c r="D456" s="8">
        <v>31.952355458572633</v>
      </c>
      <c r="E456" s="8">
        <v>60</v>
      </c>
      <c r="F456" s="9">
        <v>439037.65155869484</v>
      </c>
      <c r="G456" s="10">
        <v>0</v>
      </c>
      <c r="H456" s="9">
        <v>570000</v>
      </c>
      <c r="I456" s="10">
        <v>0</v>
      </c>
      <c r="J456" s="9">
        <v>0</v>
      </c>
      <c r="K456" s="9">
        <v>0</v>
      </c>
      <c r="L456" s="10">
        <v>0</v>
      </c>
      <c r="M456" s="10">
        <v>0</v>
      </c>
      <c r="N456" s="9">
        <v>0</v>
      </c>
      <c r="O456" s="9">
        <f t="shared" si="2"/>
        <v>0</v>
      </c>
      <c r="P456" s="9">
        <f t="shared" si="3"/>
        <v>0</v>
      </c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spans="1:42" ht="13.2" x14ac:dyDescent="0.25">
      <c r="A457" s="3" t="s">
        <v>44</v>
      </c>
      <c r="B457" s="7">
        <v>44228</v>
      </c>
      <c r="C457" s="3" t="s">
        <v>36</v>
      </c>
      <c r="D457" s="8">
        <v>118.29048774117659</v>
      </c>
      <c r="E457" s="8">
        <v>60</v>
      </c>
      <c r="F457" s="9">
        <v>128521.26831808646</v>
      </c>
      <c r="G457" s="10">
        <v>0</v>
      </c>
      <c r="H457" s="9">
        <v>130000</v>
      </c>
      <c r="I457" s="10">
        <v>0</v>
      </c>
      <c r="J457" s="9">
        <v>0</v>
      </c>
      <c r="K457" s="9">
        <v>0</v>
      </c>
      <c r="L457" s="10">
        <v>0</v>
      </c>
      <c r="M457" s="10">
        <v>0</v>
      </c>
      <c r="N457" s="9">
        <v>0</v>
      </c>
      <c r="O457" s="9">
        <f t="shared" si="2"/>
        <v>0</v>
      </c>
      <c r="P457" s="9">
        <f t="shared" si="3"/>
        <v>0</v>
      </c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spans="1:42" ht="13.2" x14ac:dyDescent="0.25">
      <c r="A458" s="3" t="s">
        <v>57</v>
      </c>
      <c r="B458" s="7">
        <v>44228</v>
      </c>
      <c r="C458" s="3" t="s">
        <v>36</v>
      </c>
      <c r="D458" s="8">
        <v>31.472732755672819</v>
      </c>
      <c r="E458" s="8">
        <v>60</v>
      </c>
      <c r="F458" s="9">
        <v>686529.63392475958</v>
      </c>
      <c r="G458" s="10">
        <v>-1</v>
      </c>
      <c r="H458" s="9">
        <v>950000</v>
      </c>
      <c r="I458" s="10">
        <v>0</v>
      </c>
      <c r="J458" s="9">
        <v>0</v>
      </c>
      <c r="K458" s="9">
        <v>0</v>
      </c>
      <c r="L458" s="10">
        <v>0</v>
      </c>
      <c r="M458" s="10">
        <v>0</v>
      </c>
      <c r="N458" s="9">
        <v>0</v>
      </c>
      <c r="O458" s="9">
        <f t="shared" si="2"/>
        <v>0</v>
      </c>
      <c r="P458" s="9">
        <f t="shared" si="3"/>
        <v>0</v>
      </c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spans="1:42" ht="13.2" x14ac:dyDescent="0.25">
      <c r="A459" s="3" t="s">
        <v>323</v>
      </c>
      <c r="B459" s="7">
        <v>44228</v>
      </c>
      <c r="C459" s="3" t="s">
        <v>36</v>
      </c>
      <c r="D459" s="8">
        <v>3</v>
      </c>
      <c r="E459" s="8">
        <v>149.66014907609485</v>
      </c>
      <c r="F459" s="9">
        <v>12565.884279970083</v>
      </c>
      <c r="G459" s="10">
        <v>0</v>
      </c>
      <c r="H459" s="9">
        <v>20000</v>
      </c>
      <c r="I459" s="10">
        <v>0</v>
      </c>
      <c r="J459" s="9">
        <v>0</v>
      </c>
      <c r="K459" s="9">
        <v>0</v>
      </c>
      <c r="L459" s="10">
        <v>0</v>
      </c>
      <c r="M459" s="10">
        <v>0</v>
      </c>
      <c r="N459" s="9">
        <v>0</v>
      </c>
      <c r="O459" s="9">
        <f t="shared" si="2"/>
        <v>0</v>
      </c>
      <c r="P459" s="9">
        <f t="shared" si="3"/>
        <v>0</v>
      </c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spans="1:42" ht="13.2" x14ac:dyDescent="0.25">
      <c r="A460" s="3" t="s">
        <v>209</v>
      </c>
      <c r="B460" s="7">
        <v>44228</v>
      </c>
      <c r="C460" s="3" t="s">
        <v>36</v>
      </c>
      <c r="D460" s="8">
        <v>50.948655814588001</v>
      </c>
      <c r="E460" s="8">
        <v>273.51810292219216</v>
      </c>
      <c r="F460" s="9">
        <v>415577.60264929547</v>
      </c>
      <c r="G460" s="10">
        <v>1</v>
      </c>
      <c r="H460" s="9">
        <v>260000</v>
      </c>
      <c r="I460" s="10">
        <v>1</v>
      </c>
      <c r="J460" s="9">
        <v>260000</v>
      </c>
      <c r="K460" s="9">
        <v>23514.881692389059</v>
      </c>
      <c r="L460" s="10">
        <v>6</v>
      </c>
      <c r="M460" s="10">
        <v>0</v>
      </c>
      <c r="N460" s="9">
        <v>0</v>
      </c>
      <c r="O460" s="9">
        <f t="shared" si="2"/>
        <v>6500</v>
      </c>
      <c r="P460" s="9">
        <f t="shared" si="3"/>
        <v>5200</v>
      </c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spans="1:42" ht="13.2" x14ac:dyDescent="0.25">
      <c r="A461" s="3" t="s">
        <v>324</v>
      </c>
      <c r="B461" s="7">
        <v>44228</v>
      </c>
      <c r="C461" s="3" t="s">
        <v>36</v>
      </c>
      <c r="D461" s="8">
        <v>3</v>
      </c>
      <c r="E461" s="8">
        <v>183.45149843617119</v>
      </c>
      <c r="F461" s="9">
        <v>18935.140546024053</v>
      </c>
      <c r="G461" s="10">
        <v>-1</v>
      </c>
      <c r="H461" s="9">
        <v>20000</v>
      </c>
      <c r="I461" s="10">
        <v>0</v>
      </c>
      <c r="J461" s="9">
        <v>0</v>
      </c>
      <c r="K461" s="9">
        <v>0</v>
      </c>
      <c r="L461" s="10">
        <v>0</v>
      </c>
      <c r="M461" s="10">
        <v>0</v>
      </c>
      <c r="N461" s="9">
        <v>0</v>
      </c>
      <c r="O461" s="9">
        <f t="shared" si="2"/>
        <v>0</v>
      </c>
      <c r="P461" s="9">
        <f t="shared" si="3"/>
        <v>0</v>
      </c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spans="1:42" ht="13.2" x14ac:dyDescent="0.25">
      <c r="A462" s="3" t="s">
        <v>37</v>
      </c>
      <c r="B462" s="7">
        <v>44228</v>
      </c>
      <c r="C462" s="3" t="s">
        <v>36</v>
      </c>
      <c r="D462" s="8">
        <v>91.614385994138615</v>
      </c>
      <c r="E462" s="8">
        <v>60</v>
      </c>
      <c r="F462" s="9">
        <v>71532.282551151438</v>
      </c>
      <c r="G462" s="10">
        <v>1</v>
      </c>
      <c r="H462" s="9">
        <v>110000</v>
      </c>
      <c r="I462" s="10">
        <v>0</v>
      </c>
      <c r="J462" s="9">
        <v>0</v>
      </c>
      <c r="K462" s="9">
        <v>0</v>
      </c>
      <c r="L462" s="10">
        <v>0</v>
      </c>
      <c r="M462" s="10">
        <v>0</v>
      </c>
      <c r="N462" s="9">
        <v>0</v>
      </c>
      <c r="O462" s="9">
        <f t="shared" si="2"/>
        <v>0</v>
      </c>
      <c r="P462" s="9">
        <f t="shared" si="3"/>
        <v>0</v>
      </c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spans="1:42" ht="13.2" x14ac:dyDescent="0.25">
      <c r="A463" s="3" t="s">
        <v>325</v>
      </c>
      <c r="B463" s="7">
        <v>44228</v>
      </c>
      <c r="C463" s="3" t="s">
        <v>39</v>
      </c>
      <c r="D463" s="8">
        <v>3</v>
      </c>
      <c r="E463" s="8">
        <v>351.83450493824461</v>
      </c>
      <c r="F463" s="9">
        <v>239072.25113571942</v>
      </c>
      <c r="G463" s="10">
        <v>0</v>
      </c>
      <c r="H463" s="9">
        <v>150000</v>
      </c>
      <c r="I463" s="10">
        <v>1</v>
      </c>
      <c r="J463" s="9">
        <v>150000</v>
      </c>
      <c r="K463" s="9">
        <v>-848.02500173872511</v>
      </c>
      <c r="L463" s="10">
        <v>6</v>
      </c>
      <c r="M463" s="10">
        <v>0</v>
      </c>
      <c r="N463" s="9">
        <v>0</v>
      </c>
      <c r="O463" s="9">
        <f t="shared" si="2"/>
        <v>3750</v>
      </c>
      <c r="P463" s="9">
        <f t="shared" si="3"/>
        <v>3000</v>
      </c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spans="1:42" ht="13.2" x14ac:dyDescent="0.25">
      <c r="A464" s="3" t="s">
        <v>326</v>
      </c>
      <c r="B464" s="7">
        <v>44228</v>
      </c>
      <c r="C464" s="3" t="s">
        <v>39</v>
      </c>
      <c r="D464" s="8">
        <v>22.721790222859539</v>
      </c>
      <c r="E464" s="8">
        <v>183.65676539753923</v>
      </c>
      <c r="F464" s="9">
        <v>63070.637905684591</v>
      </c>
      <c r="G464" s="10">
        <v>-1</v>
      </c>
      <c r="H464" s="9">
        <v>60000</v>
      </c>
      <c r="I464" s="10">
        <v>0</v>
      </c>
      <c r="J464" s="9">
        <v>0</v>
      </c>
      <c r="K464" s="9">
        <v>0</v>
      </c>
      <c r="L464" s="10">
        <v>0</v>
      </c>
      <c r="M464" s="10">
        <v>0</v>
      </c>
      <c r="N464" s="9">
        <v>0</v>
      </c>
      <c r="O464" s="9">
        <f t="shared" si="2"/>
        <v>0</v>
      </c>
      <c r="P464" s="9">
        <f t="shared" si="3"/>
        <v>0</v>
      </c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spans="1:42" ht="13.2" x14ac:dyDescent="0.25">
      <c r="A465" s="3" t="s">
        <v>217</v>
      </c>
      <c r="B465" s="7">
        <v>44228</v>
      </c>
      <c r="C465" s="3" t="s">
        <v>39</v>
      </c>
      <c r="D465" s="8">
        <v>68.248276139968524</v>
      </c>
      <c r="E465" s="8">
        <v>60</v>
      </c>
      <c r="F465" s="9">
        <v>155307.29469588966</v>
      </c>
      <c r="G465" s="10">
        <v>0</v>
      </c>
      <c r="H465" s="9">
        <v>230000</v>
      </c>
      <c r="I465" s="10">
        <v>1</v>
      </c>
      <c r="J465" s="9">
        <v>230000</v>
      </c>
      <c r="K465" s="9">
        <v>15302.293812273094</v>
      </c>
      <c r="L465" s="10">
        <v>6</v>
      </c>
      <c r="M465" s="10">
        <v>1</v>
      </c>
      <c r="N465" s="9">
        <v>67457.34</v>
      </c>
      <c r="O465" s="9">
        <f t="shared" si="2"/>
        <v>5750</v>
      </c>
      <c r="P465" s="9">
        <f t="shared" si="3"/>
        <v>4600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spans="1:42" ht="13.2" x14ac:dyDescent="0.25">
      <c r="A466" s="3" t="s">
        <v>327</v>
      </c>
      <c r="B466" s="7">
        <v>44228</v>
      </c>
      <c r="C466" s="3" t="s">
        <v>36</v>
      </c>
      <c r="D466" s="8">
        <v>69.330006915331197</v>
      </c>
      <c r="E466" s="8">
        <v>268.19235342202052</v>
      </c>
      <c r="F466" s="9">
        <v>293265.57306525961</v>
      </c>
      <c r="G466" s="10">
        <v>-1</v>
      </c>
      <c r="H466" s="9">
        <v>191000</v>
      </c>
      <c r="I466" s="10">
        <v>1</v>
      </c>
      <c r="J466" s="9">
        <v>191000</v>
      </c>
      <c r="K466" s="9">
        <v>23213.992447727469</v>
      </c>
      <c r="L466" s="10">
        <v>9</v>
      </c>
      <c r="M466" s="10">
        <v>0</v>
      </c>
      <c r="N466" s="9">
        <v>0</v>
      </c>
      <c r="O466" s="9">
        <f t="shared" si="2"/>
        <v>4775</v>
      </c>
      <c r="P466" s="9">
        <f t="shared" si="3"/>
        <v>3820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spans="1:42" ht="13.2" x14ac:dyDescent="0.25">
      <c r="A467" s="3" t="s">
        <v>328</v>
      </c>
      <c r="B467" s="7">
        <v>44228</v>
      </c>
      <c r="C467" s="3" t="s">
        <v>63</v>
      </c>
      <c r="D467" s="8">
        <v>83.981372486225467</v>
      </c>
      <c r="E467" s="8">
        <v>237.53084138726655</v>
      </c>
      <c r="F467" s="9">
        <v>77646.26253597156</v>
      </c>
      <c r="G467" s="10">
        <v>0</v>
      </c>
      <c r="H467" s="9">
        <v>60000</v>
      </c>
      <c r="I467" s="10">
        <v>0</v>
      </c>
      <c r="J467" s="9">
        <v>0</v>
      </c>
      <c r="K467" s="9">
        <v>0</v>
      </c>
      <c r="L467" s="10">
        <v>0</v>
      </c>
      <c r="M467" s="10">
        <v>0</v>
      </c>
      <c r="N467" s="9">
        <v>0</v>
      </c>
      <c r="O467" s="9">
        <f t="shared" si="2"/>
        <v>0</v>
      </c>
      <c r="P467" s="9">
        <f t="shared" si="3"/>
        <v>0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spans="1:42" ht="13.2" x14ac:dyDescent="0.25">
      <c r="A468" s="3" t="s">
        <v>152</v>
      </c>
      <c r="B468" s="7">
        <v>44228</v>
      </c>
      <c r="C468" s="3" t="s">
        <v>36</v>
      </c>
      <c r="D468" s="8">
        <v>16.659564514198539</v>
      </c>
      <c r="E468" s="8">
        <v>136.39354784254024</v>
      </c>
      <c r="F468" s="9">
        <v>207776.96958060027</v>
      </c>
      <c r="G468" s="10">
        <v>1</v>
      </c>
      <c r="H468" s="9">
        <v>270000</v>
      </c>
      <c r="I468" s="10">
        <v>1</v>
      </c>
      <c r="J468" s="9">
        <v>270000</v>
      </c>
      <c r="K468" s="9">
        <v>31803.704308067423</v>
      </c>
      <c r="L468" s="10">
        <v>8</v>
      </c>
      <c r="M468" s="10">
        <v>0</v>
      </c>
      <c r="N468" s="9">
        <v>0</v>
      </c>
      <c r="O468" s="9">
        <f t="shared" si="2"/>
        <v>6750</v>
      </c>
      <c r="P468" s="9">
        <f t="shared" si="3"/>
        <v>5400</v>
      </c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spans="1:42" ht="13.2" x14ac:dyDescent="0.25">
      <c r="A469" s="3" t="s">
        <v>329</v>
      </c>
      <c r="B469" s="7">
        <v>44228</v>
      </c>
      <c r="C469" s="3" t="s">
        <v>63</v>
      </c>
      <c r="D469" s="8">
        <v>28.762619145941805</v>
      </c>
      <c r="E469" s="8">
        <v>141.51591297382603</v>
      </c>
      <c r="F469" s="9">
        <v>9799.4722031587207</v>
      </c>
      <c r="G469" s="10">
        <v>0</v>
      </c>
      <c r="H469" s="9">
        <v>10000</v>
      </c>
      <c r="I469" s="10">
        <v>0</v>
      </c>
      <c r="J469" s="9">
        <v>0</v>
      </c>
      <c r="K469" s="9">
        <v>0</v>
      </c>
      <c r="L469" s="10">
        <v>0</v>
      </c>
      <c r="M469" s="10">
        <v>0</v>
      </c>
      <c r="N469" s="9">
        <v>0</v>
      </c>
      <c r="O469" s="9">
        <f t="shared" si="2"/>
        <v>0</v>
      </c>
      <c r="P469" s="9">
        <f t="shared" si="3"/>
        <v>0</v>
      </c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spans="1:42" ht="13.2" x14ac:dyDescent="0.25">
      <c r="A470" s="3" t="s">
        <v>330</v>
      </c>
      <c r="B470" s="7">
        <v>44228</v>
      </c>
      <c r="C470" s="3" t="s">
        <v>36</v>
      </c>
      <c r="D470" s="8">
        <v>3</v>
      </c>
      <c r="E470" s="8">
        <v>334.11269209957254</v>
      </c>
      <c r="F470" s="9">
        <v>15686.334216390956</v>
      </c>
      <c r="G470" s="10">
        <v>1</v>
      </c>
      <c r="H470" s="9">
        <v>10000</v>
      </c>
      <c r="I470" s="10">
        <v>1</v>
      </c>
      <c r="J470" s="9">
        <v>10000</v>
      </c>
      <c r="K470" s="9">
        <v>1201.9160940382615</v>
      </c>
      <c r="L470" s="10">
        <v>6</v>
      </c>
      <c r="M470" s="10">
        <v>0</v>
      </c>
      <c r="N470" s="9">
        <v>0</v>
      </c>
      <c r="O470" s="9">
        <f t="shared" si="2"/>
        <v>250</v>
      </c>
      <c r="P470" s="9">
        <f t="shared" si="3"/>
        <v>200</v>
      </c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spans="1:42" ht="13.2" x14ac:dyDescent="0.25">
      <c r="A471" s="3" t="s">
        <v>234</v>
      </c>
      <c r="B471" s="7">
        <v>44228</v>
      </c>
      <c r="C471" s="3" t="s">
        <v>36</v>
      </c>
      <c r="D471" s="8">
        <v>3</v>
      </c>
      <c r="E471" s="8">
        <v>129.52794356642545</v>
      </c>
      <c r="F471" s="9">
        <v>25040.419337742507</v>
      </c>
      <c r="G471" s="10">
        <v>-1</v>
      </c>
      <c r="H471" s="9">
        <v>30000</v>
      </c>
      <c r="I471" s="10">
        <v>1</v>
      </c>
      <c r="J471" s="9">
        <v>30000</v>
      </c>
      <c r="K471" s="9">
        <v>3243.9536916762777</v>
      </c>
      <c r="L471" s="10">
        <v>6</v>
      </c>
      <c r="M471" s="10">
        <v>0</v>
      </c>
      <c r="N471" s="9">
        <v>0</v>
      </c>
      <c r="O471" s="9">
        <f t="shared" si="2"/>
        <v>750</v>
      </c>
      <c r="P471" s="9">
        <f t="shared" si="3"/>
        <v>600</v>
      </c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spans="1:42" ht="13.2" x14ac:dyDescent="0.25">
      <c r="A472" s="3" t="s">
        <v>241</v>
      </c>
      <c r="B472" s="7">
        <v>44228</v>
      </c>
      <c r="C472" s="3" t="s">
        <v>36</v>
      </c>
      <c r="D472" s="8">
        <v>61.875516581173045</v>
      </c>
      <c r="E472" s="8">
        <v>334.44056889049551</v>
      </c>
      <c r="F472" s="9">
        <v>45920.133917468112</v>
      </c>
      <c r="G472" s="10">
        <v>0</v>
      </c>
      <c r="H472" s="9">
        <v>30000</v>
      </c>
      <c r="I472" s="10">
        <v>0</v>
      </c>
      <c r="J472" s="9">
        <v>0</v>
      </c>
      <c r="K472" s="9">
        <v>0</v>
      </c>
      <c r="L472" s="10">
        <v>0</v>
      </c>
      <c r="M472" s="10">
        <v>0</v>
      </c>
      <c r="N472" s="9">
        <v>0</v>
      </c>
      <c r="O472" s="9">
        <f t="shared" si="2"/>
        <v>0</v>
      </c>
      <c r="P472" s="9">
        <f t="shared" si="3"/>
        <v>0</v>
      </c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spans="1:42" ht="13.2" x14ac:dyDescent="0.25">
      <c r="A473" s="3" t="s">
        <v>331</v>
      </c>
      <c r="B473" s="7">
        <v>44228</v>
      </c>
      <c r="C473" s="3" t="s">
        <v>39</v>
      </c>
      <c r="D473" s="8">
        <v>21.815562610485863</v>
      </c>
      <c r="E473" s="8">
        <v>364.46171281106052</v>
      </c>
      <c r="F473" s="9">
        <v>1107.9476265245989</v>
      </c>
      <c r="G473" s="10">
        <v>-1</v>
      </c>
      <c r="H473" s="9">
        <v>769.23076923076917</v>
      </c>
      <c r="I473" s="10">
        <v>1</v>
      </c>
      <c r="J473" s="9">
        <v>769.23076923076917</v>
      </c>
      <c r="K473" s="9">
        <v>108.35742646421215</v>
      </c>
      <c r="L473" s="10">
        <v>6</v>
      </c>
      <c r="M473" s="10">
        <v>0</v>
      </c>
      <c r="N473" s="9">
        <v>0</v>
      </c>
      <c r="O473" s="9">
        <f t="shared" si="2"/>
        <v>19.23076923076923</v>
      </c>
      <c r="P473" s="9">
        <f t="shared" si="3"/>
        <v>15.384615384615383</v>
      </c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spans="1:42" ht="13.2" x14ac:dyDescent="0.25">
      <c r="A474" s="3" t="s">
        <v>332</v>
      </c>
      <c r="B474" s="7">
        <v>44228</v>
      </c>
      <c r="C474" s="3" t="s">
        <v>39</v>
      </c>
      <c r="D474" s="8">
        <v>18.847605565178107</v>
      </c>
      <c r="E474" s="8">
        <v>84.097508900636427</v>
      </c>
      <c r="F474" s="9">
        <v>95723.472961802225</v>
      </c>
      <c r="G474" s="10">
        <v>-1</v>
      </c>
      <c r="H474" s="9">
        <v>160000</v>
      </c>
      <c r="I474" s="10">
        <v>0</v>
      </c>
      <c r="J474" s="9">
        <v>0</v>
      </c>
      <c r="K474" s="9">
        <v>0</v>
      </c>
      <c r="L474" s="10">
        <v>0</v>
      </c>
      <c r="M474" s="10">
        <v>0</v>
      </c>
      <c r="N474" s="9">
        <v>0</v>
      </c>
      <c r="O474" s="9">
        <f t="shared" si="2"/>
        <v>0</v>
      </c>
      <c r="P474" s="9">
        <f t="shared" si="3"/>
        <v>0</v>
      </c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spans="1:42" ht="13.2" x14ac:dyDescent="0.25">
      <c r="A475" s="3" t="s">
        <v>110</v>
      </c>
      <c r="B475" s="7">
        <v>44228</v>
      </c>
      <c r="C475" s="3" t="s">
        <v>36</v>
      </c>
      <c r="D475" s="8">
        <v>9.4054626830072525</v>
      </c>
      <c r="E475" s="8">
        <v>166.89127565977842</v>
      </c>
      <c r="F475" s="9">
        <v>161317.0961391702</v>
      </c>
      <c r="G475" s="10">
        <v>1</v>
      </c>
      <c r="H475" s="9">
        <v>310000</v>
      </c>
      <c r="I475" s="10">
        <v>0</v>
      </c>
      <c r="J475" s="9">
        <v>0</v>
      </c>
      <c r="K475" s="9">
        <v>0</v>
      </c>
      <c r="L475" s="10">
        <v>0</v>
      </c>
      <c r="M475" s="10">
        <v>0</v>
      </c>
      <c r="N475" s="9">
        <v>0</v>
      </c>
      <c r="O475" s="9">
        <f t="shared" si="2"/>
        <v>0</v>
      </c>
      <c r="P475" s="9">
        <f t="shared" si="3"/>
        <v>0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spans="1:42" ht="13.2" x14ac:dyDescent="0.25">
      <c r="A476" s="3" t="s">
        <v>43</v>
      </c>
      <c r="B476" s="7">
        <v>44228</v>
      </c>
      <c r="C476" s="3" t="s">
        <v>36</v>
      </c>
      <c r="D476" s="8">
        <v>37.792857234899095</v>
      </c>
      <c r="E476" s="8">
        <v>60</v>
      </c>
      <c r="F476" s="9">
        <v>63432.478600368413</v>
      </c>
      <c r="G476" s="10">
        <v>0</v>
      </c>
      <c r="H476" s="9">
        <v>70000</v>
      </c>
      <c r="I476" s="10">
        <v>1</v>
      </c>
      <c r="J476" s="9">
        <v>70000</v>
      </c>
      <c r="K476" s="9">
        <v>7708.4720233065591</v>
      </c>
      <c r="L476" s="10">
        <v>6</v>
      </c>
      <c r="M476" s="10">
        <v>0</v>
      </c>
      <c r="N476" s="9">
        <v>0</v>
      </c>
      <c r="O476" s="9">
        <f t="shared" si="2"/>
        <v>1750</v>
      </c>
      <c r="P476" s="9">
        <f t="shared" si="3"/>
        <v>1400</v>
      </c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spans="1:42" ht="13.2" x14ac:dyDescent="0.25">
      <c r="A477" s="3" t="s">
        <v>333</v>
      </c>
      <c r="B477" s="7">
        <v>44228</v>
      </c>
      <c r="C477" s="3" t="s">
        <v>36</v>
      </c>
      <c r="D477" s="8">
        <v>30.498710190955041</v>
      </c>
      <c r="E477" s="8">
        <v>242.19264411162499</v>
      </c>
      <c r="F477" s="9">
        <v>289211.30625653133</v>
      </c>
      <c r="G477" s="10">
        <v>-1</v>
      </c>
      <c r="H477" s="9">
        <v>190000</v>
      </c>
      <c r="I477" s="10">
        <v>1</v>
      </c>
      <c r="J477" s="9">
        <v>190000</v>
      </c>
      <c r="K477" s="9">
        <v>4642.1991017145656</v>
      </c>
      <c r="L477" s="10">
        <v>6</v>
      </c>
      <c r="M477" s="10">
        <v>0</v>
      </c>
      <c r="N477" s="9">
        <v>0</v>
      </c>
      <c r="O477" s="9">
        <f t="shared" si="2"/>
        <v>4750</v>
      </c>
      <c r="P477" s="9">
        <f t="shared" si="3"/>
        <v>3800</v>
      </c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spans="1:42" ht="13.2" x14ac:dyDescent="0.25">
      <c r="A478" s="3" t="s">
        <v>70</v>
      </c>
      <c r="B478" s="7">
        <v>44228</v>
      </c>
      <c r="C478" s="3" t="s">
        <v>36</v>
      </c>
      <c r="D478" s="8">
        <v>115.82271337591683</v>
      </c>
      <c r="E478" s="8">
        <v>60</v>
      </c>
      <c r="F478" s="9">
        <v>18424.47136863679</v>
      </c>
      <c r="G478" s="10">
        <v>1</v>
      </c>
      <c r="H478" s="9">
        <v>30000</v>
      </c>
      <c r="I478" s="10">
        <v>0</v>
      </c>
      <c r="J478" s="9">
        <v>0</v>
      </c>
      <c r="K478" s="9">
        <v>0</v>
      </c>
      <c r="L478" s="10">
        <v>0</v>
      </c>
      <c r="M478" s="10">
        <v>0</v>
      </c>
      <c r="N478" s="9">
        <v>0</v>
      </c>
      <c r="O478" s="9">
        <f t="shared" si="2"/>
        <v>0</v>
      </c>
      <c r="P478" s="9">
        <f t="shared" si="3"/>
        <v>0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spans="1:42" ht="13.2" x14ac:dyDescent="0.25">
      <c r="A479" s="3" t="s">
        <v>189</v>
      </c>
      <c r="B479" s="7">
        <v>44228</v>
      </c>
      <c r="C479" s="3" t="s">
        <v>36</v>
      </c>
      <c r="D479" s="8">
        <v>35.692186021371185</v>
      </c>
      <c r="E479" s="8">
        <v>122.51543650242257</v>
      </c>
      <c r="F479" s="9">
        <v>515.1262178574118</v>
      </c>
      <c r="G479" s="10">
        <v>-1</v>
      </c>
      <c r="H479" s="9">
        <v>535.71428571428567</v>
      </c>
      <c r="I479" s="10">
        <v>1</v>
      </c>
      <c r="J479" s="9">
        <v>535.71428571428567</v>
      </c>
      <c r="K479" s="9">
        <v>28.729899173521837</v>
      </c>
      <c r="L479" s="10">
        <v>6</v>
      </c>
      <c r="M479" s="10">
        <v>0</v>
      </c>
      <c r="N479" s="9">
        <v>0</v>
      </c>
      <c r="O479" s="9">
        <f t="shared" si="2"/>
        <v>13.392857142857142</v>
      </c>
      <c r="P479" s="9">
        <f t="shared" si="3"/>
        <v>10.714285714285714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spans="1:42" ht="13.2" x14ac:dyDescent="0.25">
      <c r="A480" s="3" t="s">
        <v>334</v>
      </c>
      <c r="B480" s="7">
        <v>44228</v>
      </c>
      <c r="C480" s="3" t="s">
        <v>36</v>
      </c>
      <c r="D480" s="8">
        <v>85.143554687759831</v>
      </c>
      <c r="E480" s="8">
        <v>176.14461388082935</v>
      </c>
      <c r="F480" s="9">
        <v>15520.966395677438</v>
      </c>
      <c r="G480" s="10">
        <v>1</v>
      </c>
      <c r="H480" s="9">
        <v>20000</v>
      </c>
      <c r="I480" s="10">
        <v>0</v>
      </c>
      <c r="J480" s="9">
        <v>0</v>
      </c>
      <c r="K480" s="9">
        <v>0</v>
      </c>
      <c r="L480" s="10">
        <v>0</v>
      </c>
      <c r="M480" s="10">
        <v>0</v>
      </c>
      <c r="N480" s="9">
        <v>0</v>
      </c>
      <c r="O480" s="9">
        <f t="shared" si="2"/>
        <v>0</v>
      </c>
      <c r="P480" s="9">
        <f t="shared" si="3"/>
        <v>0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spans="1:42" ht="13.2" x14ac:dyDescent="0.25">
      <c r="A481" s="3" t="s">
        <v>335</v>
      </c>
      <c r="B481" s="7">
        <v>44228</v>
      </c>
      <c r="C481" s="3" t="s">
        <v>36</v>
      </c>
      <c r="D481" s="8">
        <v>111.13805396899957</v>
      </c>
      <c r="E481" s="8">
        <v>320.913274724438</v>
      </c>
      <c r="F481" s="9">
        <v>387334.3310936864</v>
      </c>
      <c r="G481" s="10">
        <v>1</v>
      </c>
      <c r="H481" s="9">
        <v>267000</v>
      </c>
      <c r="I481" s="10">
        <v>0</v>
      </c>
      <c r="J481" s="9">
        <v>0</v>
      </c>
      <c r="K481" s="9">
        <v>0</v>
      </c>
      <c r="L481" s="10">
        <v>0</v>
      </c>
      <c r="M481" s="10">
        <v>0</v>
      </c>
      <c r="N481" s="9">
        <v>0</v>
      </c>
      <c r="O481" s="9">
        <f t="shared" si="2"/>
        <v>0</v>
      </c>
      <c r="P481" s="9">
        <f t="shared" si="3"/>
        <v>0</v>
      </c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spans="1:42" ht="13.2" x14ac:dyDescent="0.25">
      <c r="A482" s="3" t="s">
        <v>336</v>
      </c>
      <c r="B482" s="7">
        <v>44256</v>
      </c>
      <c r="C482" s="3" t="s">
        <v>39</v>
      </c>
      <c r="D482" s="8">
        <v>38.784944501070918</v>
      </c>
      <c r="E482" s="8">
        <v>123.74175582177934</v>
      </c>
      <c r="F482" s="9">
        <v>93888.952864712584</v>
      </c>
      <c r="G482" s="10">
        <v>1</v>
      </c>
      <c r="H482" s="9">
        <v>80000</v>
      </c>
      <c r="I482" s="10">
        <v>0</v>
      </c>
      <c r="J482" s="9">
        <v>0</v>
      </c>
      <c r="K482" s="9">
        <v>0</v>
      </c>
      <c r="L482" s="10">
        <v>0</v>
      </c>
      <c r="M482" s="10">
        <v>0</v>
      </c>
      <c r="N482" s="9">
        <v>0</v>
      </c>
      <c r="O482" s="9">
        <f t="shared" si="2"/>
        <v>0</v>
      </c>
      <c r="P482" s="9">
        <f t="shared" si="3"/>
        <v>0</v>
      </c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spans="1:42" ht="13.2" x14ac:dyDescent="0.25">
      <c r="A483" s="3" t="s">
        <v>337</v>
      </c>
      <c r="B483" s="7">
        <v>44256</v>
      </c>
      <c r="C483" s="3" t="s">
        <v>63</v>
      </c>
      <c r="D483" s="8">
        <v>69.166058583868022</v>
      </c>
      <c r="E483" s="8">
        <v>271.80672702157807</v>
      </c>
      <c r="F483" s="9">
        <v>117508.62542894519</v>
      </c>
      <c r="G483" s="10">
        <v>0</v>
      </c>
      <c r="H483" s="9">
        <v>80000</v>
      </c>
      <c r="I483" s="10">
        <v>1</v>
      </c>
      <c r="J483" s="9">
        <v>80000</v>
      </c>
      <c r="K483" s="9">
        <v>808.81113206949533</v>
      </c>
      <c r="L483" s="10">
        <v>9</v>
      </c>
      <c r="M483" s="10">
        <v>0</v>
      </c>
      <c r="N483" s="9">
        <v>0</v>
      </c>
      <c r="O483" s="9">
        <f t="shared" si="2"/>
        <v>2000</v>
      </c>
      <c r="P483" s="9">
        <f t="shared" si="3"/>
        <v>1600</v>
      </c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spans="1:42" ht="13.2" x14ac:dyDescent="0.25">
      <c r="A484" s="3" t="s">
        <v>216</v>
      </c>
      <c r="B484" s="7">
        <v>44256</v>
      </c>
      <c r="C484" s="3" t="s">
        <v>39</v>
      </c>
      <c r="D484" s="8">
        <v>101.647780838025</v>
      </c>
      <c r="E484" s="8">
        <v>60</v>
      </c>
      <c r="F484" s="9">
        <v>229827.51603557082</v>
      </c>
      <c r="G484" s="10">
        <v>0</v>
      </c>
      <c r="H484" s="9">
        <v>240000</v>
      </c>
      <c r="I484" s="10">
        <v>1</v>
      </c>
      <c r="J484" s="9">
        <v>240000</v>
      </c>
      <c r="K484" s="9">
        <v>8073.9450458562515</v>
      </c>
      <c r="L484" s="10">
        <v>6</v>
      </c>
      <c r="M484" s="10">
        <v>0</v>
      </c>
      <c r="N484" s="9">
        <v>0</v>
      </c>
      <c r="O484" s="9">
        <f t="shared" si="2"/>
        <v>6000</v>
      </c>
      <c r="P484" s="9">
        <f t="shared" si="3"/>
        <v>4800</v>
      </c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spans="1:42" ht="13.2" x14ac:dyDescent="0.25">
      <c r="A485" s="3" t="s">
        <v>220</v>
      </c>
      <c r="B485" s="7">
        <v>44256</v>
      </c>
      <c r="C485" s="3" t="s">
        <v>39</v>
      </c>
      <c r="D485" s="8">
        <v>18.030385578458088</v>
      </c>
      <c r="E485" s="8">
        <v>60</v>
      </c>
      <c r="F485" s="9">
        <v>13425.966879245958</v>
      </c>
      <c r="G485" s="10">
        <v>1</v>
      </c>
      <c r="H485" s="9">
        <v>20000</v>
      </c>
      <c r="I485" s="10">
        <v>1</v>
      </c>
      <c r="J485" s="9">
        <v>20000</v>
      </c>
      <c r="K485" s="9">
        <v>1593.6262625805043</v>
      </c>
      <c r="L485" s="10">
        <v>6</v>
      </c>
      <c r="M485" s="10">
        <v>0</v>
      </c>
      <c r="N485" s="9">
        <v>0</v>
      </c>
      <c r="O485" s="9">
        <f t="shared" si="2"/>
        <v>500</v>
      </c>
      <c r="P485" s="9">
        <f t="shared" si="3"/>
        <v>400</v>
      </c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spans="1:42" ht="13.2" x14ac:dyDescent="0.25">
      <c r="A486" s="3" t="s">
        <v>233</v>
      </c>
      <c r="B486" s="7">
        <v>44256</v>
      </c>
      <c r="C486" s="3" t="s">
        <v>36</v>
      </c>
      <c r="D486" s="8">
        <v>7.0413271371135551</v>
      </c>
      <c r="E486" s="8">
        <v>242.75092664660392</v>
      </c>
      <c r="F486" s="9">
        <v>59828.888790934783</v>
      </c>
      <c r="G486" s="10">
        <v>0</v>
      </c>
      <c r="H486" s="9">
        <v>40000</v>
      </c>
      <c r="I486" s="10">
        <v>1</v>
      </c>
      <c r="J486" s="9">
        <v>40000</v>
      </c>
      <c r="K486" s="9">
        <v>2521.1396822941988</v>
      </c>
      <c r="L486" s="10">
        <v>8</v>
      </c>
      <c r="M486" s="10">
        <v>0</v>
      </c>
      <c r="N486" s="9">
        <v>0</v>
      </c>
      <c r="O486" s="9">
        <f t="shared" si="2"/>
        <v>1000</v>
      </c>
      <c r="P486" s="9">
        <f t="shared" si="3"/>
        <v>800</v>
      </c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spans="1:42" ht="13.2" x14ac:dyDescent="0.25">
      <c r="A487" s="3" t="s">
        <v>338</v>
      </c>
      <c r="B487" s="7">
        <v>44256</v>
      </c>
      <c r="C487" s="3" t="s">
        <v>36</v>
      </c>
      <c r="D487" s="8">
        <v>30.411545873982909</v>
      </c>
      <c r="E487" s="8">
        <v>94.211797794150229</v>
      </c>
      <c r="F487" s="9">
        <v>271420.2769150887</v>
      </c>
      <c r="G487" s="10">
        <v>0</v>
      </c>
      <c r="H487" s="9">
        <v>400000</v>
      </c>
      <c r="I487" s="10">
        <v>0</v>
      </c>
      <c r="J487" s="9">
        <v>0</v>
      </c>
      <c r="K487" s="9">
        <v>0</v>
      </c>
      <c r="L487" s="10">
        <v>0</v>
      </c>
      <c r="M487" s="10">
        <v>0</v>
      </c>
      <c r="N487" s="9">
        <v>0</v>
      </c>
      <c r="O487" s="9">
        <f t="shared" si="2"/>
        <v>0</v>
      </c>
      <c r="P487" s="9">
        <f t="shared" si="3"/>
        <v>0</v>
      </c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spans="1:42" ht="13.2" x14ac:dyDescent="0.25">
      <c r="A488" s="3" t="s">
        <v>331</v>
      </c>
      <c r="B488" s="7">
        <v>44256</v>
      </c>
      <c r="C488" s="3" t="s">
        <v>39</v>
      </c>
      <c r="D488" s="8">
        <v>32.56232738996885</v>
      </c>
      <c r="E488" s="8">
        <v>332.8923975460475</v>
      </c>
      <c r="F488" s="9">
        <v>14775.462777574379</v>
      </c>
      <c r="G488" s="10">
        <v>-1</v>
      </c>
      <c r="H488" s="9">
        <v>10000</v>
      </c>
      <c r="I488" s="10">
        <v>1</v>
      </c>
      <c r="J488" s="9">
        <v>10000</v>
      </c>
      <c r="K488" s="9">
        <v>162.90562014078762</v>
      </c>
      <c r="L488" s="10">
        <v>8</v>
      </c>
      <c r="M488" s="10">
        <v>0</v>
      </c>
      <c r="N488" s="9">
        <v>0</v>
      </c>
      <c r="O488" s="9">
        <f t="shared" si="2"/>
        <v>250</v>
      </c>
      <c r="P488" s="9">
        <f t="shared" si="3"/>
        <v>200</v>
      </c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spans="1:42" ht="13.2" x14ac:dyDescent="0.25">
      <c r="A489" s="3" t="s">
        <v>103</v>
      </c>
      <c r="B489" s="7">
        <v>44256</v>
      </c>
      <c r="C489" s="3" t="s">
        <v>36</v>
      </c>
      <c r="D489" s="8">
        <v>4.6190474700892814</v>
      </c>
      <c r="E489" s="8">
        <v>192.50050780707744</v>
      </c>
      <c r="F489" s="9">
        <v>51164.356043561296</v>
      </c>
      <c r="G489" s="10">
        <v>-1</v>
      </c>
      <c r="H489" s="9">
        <v>80000</v>
      </c>
      <c r="I489" s="10">
        <v>1</v>
      </c>
      <c r="J489" s="9">
        <v>80000</v>
      </c>
      <c r="K489" s="9">
        <v>5785.5976944695058</v>
      </c>
      <c r="L489" s="10">
        <v>6</v>
      </c>
      <c r="M489" s="10">
        <v>0</v>
      </c>
      <c r="N489" s="9">
        <v>0</v>
      </c>
      <c r="O489" s="9">
        <f t="shared" si="2"/>
        <v>2000</v>
      </c>
      <c r="P489" s="9">
        <f t="shared" si="3"/>
        <v>1600</v>
      </c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spans="1:42" ht="13.2" x14ac:dyDescent="0.25">
      <c r="A490" s="3" t="s">
        <v>339</v>
      </c>
      <c r="B490" s="7">
        <v>44256</v>
      </c>
      <c r="C490" s="3" t="s">
        <v>36</v>
      </c>
      <c r="D490" s="8">
        <v>46.758169588714836</v>
      </c>
      <c r="E490" s="8">
        <v>315.95857364051324</v>
      </c>
      <c r="F490" s="9">
        <v>106917.44485356408</v>
      </c>
      <c r="G490" s="10">
        <v>0</v>
      </c>
      <c r="H490" s="9">
        <v>90000</v>
      </c>
      <c r="I490" s="10">
        <v>0</v>
      </c>
      <c r="J490" s="9">
        <v>0</v>
      </c>
      <c r="K490" s="9">
        <v>0</v>
      </c>
      <c r="L490" s="10">
        <v>0</v>
      </c>
      <c r="M490" s="10">
        <v>0</v>
      </c>
      <c r="N490" s="9">
        <v>0</v>
      </c>
      <c r="O490" s="9">
        <f t="shared" si="2"/>
        <v>0</v>
      </c>
      <c r="P490" s="9">
        <f t="shared" si="3"/>
        <v>0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spans="1:42" ht="13.2" x14ac:dyDescent="0.25">
      <c r="A491" s="3" t="s">
        <v>73</v>
      </c>
      <c r="B491" s="7">
        <v>44256</v>
      </c>
      <c r="C491" s="3" t="s">
        <v>39</v>
      </c>
      <c r="D491" s="8">
        <v>136.3485120997299</v>
      </c>
      <c r="E491" s="8">
        <v>60</v>
      </c>
      <c r="F491" s="9">
        <v>30278.728364788298</v>
      </c>
      <c r="G491" s="10">
        <v>0</v>
      </c>
      <c r="H491" s="9">
        <v>30000</v>
      </c>
      <c r="I491" s="10">
        <v>1</v>
      </c>
      <c r="J491" s="9">
        <v>30000</v>
      </c>
      <c r="K491" s="9">
        <v>514.18387439510104</v>
      </c>
      <c r="L491" s="10">
        <v>2</v>
      </c>
      <c r="M491" s="10">
        <v>0</v>
      </c>
      <c r="N491" s="9">
        <v>0</v>
      </c>
      <c r="O491" s="9">
        <f t="shared" si="2"/>
        <v>750</v>
      </c>
      <c r="P491" s="9">
        <f t="shared" si="3"/>
        <v>600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spans="1:42" ht="13.2" x14ac:dyDescent="0.25">
      <c r="A492" s="3" t="s">
        <v>132</v>
      </c>
      <c r="B492" s="7">
        <v>44256</v>
      </c>
      <c r="C492" s="3" t="s">
        <v>36</v>
      </c>
      <c r="D492" s="8">
        <v>61.817589488574846</v>
      </c>
      <c r="E492" s="8">
        <v>96.933369027411146</v>
      </c>
      <c r="F492" s="9">
        <v>108856.83182708136</v>
      </c>
      <c r="G492" s="10">
        <v>0</v>
      </c>
      <c r="H492" s="9">
        <v>130000</v>
      </c>
      <c r="I492" s="10">
        <v>0</v>
      </c>
      <c r="J492" s="9">
        <v>0</v>
      </c>
      <c r="K492" s="9">
        <v>0</v>
      </c>
      <c r="L492" s="10">
        <v>0</v>
      </c>
      <c r="M492" s="10">
        <v>0</v>
      </c>
      <c r="N492" s="9">
        <v>0</v>
      </c>
      <c r="O492" s="9">
        <f t="shared" si="2"/>
        <v>0</v>
      </c>
      <c r="P492" s="9">
        <f t="shared" si="3"/>
        <v>0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spans="1:42" ht="13.2" x14ac:dyDescent="0.25">
      <c r="A493" s="3" t="s">
        <v>237</v>
      </c>
      <c r="B493" s="7">
        <v>44256</v>
      </c>
      <c r="C493" s="3" t="s">
        <v>36</v>
      </c>
      <c r="D493" s="8">
        <v>32.27938576339109</v>
      </c>
      <c r="E493" s="8">
        <v>223.17200756450671</v>
      </c>
      <c r="F493" s="9">
        <v>87246.687651724118</v>
      </c>
      <c r="G493" s="10">
        <v>1</v>
      </c>
      <c r="H493" s="9">
        <v>70000</v>
      </c>
      <c r="I493" s="10">
        <v>1</v>
      </c>
      <c r="J493" s="9">
        <v>70000</v>
      </c>
      <c r="K493" s="9">
        <v>3083.8464505589991</v>
      </c>
      <c r="L493" s="10">
        <v>6</v>
      </c>
      <c r="M493" s="10">
        <v>0</v>
      </c>
      <c r="N493" s="9">
        <v>0</v>
      </c>
      <c r="O493" s="9">
        <f t="shared" si="2"/>
        <v>1750</v>
      </c>
      <c r="P493" s="9">
        <f t="shared" si="3"/>
        <v>1400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spans="1:42" ht="13.2" x14ac:dyDescent="0.25">
      <c r="A494" s="3" t="s">
        <v>136</v>
      </c>
      <c r="B494" s="7">
        <v>44256</v>
      </c>
      <c r="C494" s="3" t="s">
        <v>63</v>
      </c>
      <c r="D494" s="8">
        <v>104.90095930869431</v>
      </c>
      <c r="E494" s="8">
        <v>102.95222745898759</v>
      </c>
      <c r="F494" s="9">
        <v>486395.93956789147</v>
      </c>
      <c r="G494" s="10">
        <v>0</v>
      </c>
      <c r="H494" s="9">
        <v>400000</v>
      </c>
      <c r="I494" s="10">
        <v>1</v>
      </c>
      <c r="J494" s="9">
        <v>400000</v>
      </c>
      <c r="K494" s="9">
        <v>70253.337139270981</v>
      </c>
      <c r="L494" s="10">
        <v>13</v>
      </c>
      <c r="M494" s="10">
        <v>0</v>
      </c>
      <c r="N494" s="9">
        <v>0</v>
      </c>
      <c r="O494" s="9">
        <f t="shared" si="2"/>
        <v>10000</v>
      </c>
      <c r="P494" s="9">
        <f t="shared" si="3"/>
        <v>8000</v>
      </c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spans="1:42" ht="13.2" x14ac:dyDescent="0.25">
      <c r="A495" s="3" t="s">
        <v>340</v>
      </c>
      <c r="B495" s="7">
        <v>44256</v>
      </c>
      <c r="C495" s="3" t="s">
        <v>36</v>
      </c>
      <c r="D495" s="8">
        <v>32.61556336347514</v>
      </c>
      <c r="E495" s="8">
        <v>74.960151259757296</v>
      </c>
      <c r="F495" s="9">
        <v>30077.237064909699</v>
      </c>
      <c r="G495" s="10">
        <v>0</v>
      </c>
      <c r="H495" s="9">
        <v>40000</v>
      </c>
      <c r="I495" s="10">
        <v>0</v>
      </c>
      <c r="J495" s="9">
        <v>0</v>
      </c>
      <c r="K495" s="9">
        <v>0</v>
      </c>
      <c r="L495" s="10">
        <v>0</v>
      </c>
      <c r="M495" s="10">
        <v>0</v>
      </c>
      <c r="N495" s="9">
        <v>0</v>
      </c>
      <c r="O495" s="9">
        <f t="shared" si="2"/>
        <v>0</v>
      </c>
      <c r="P495" s="9">
        <f t="shared" si="3"/>
        <v>0</v>
      </c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spans="1:42" ht="13.2" x14ac:dyDescent="0.25">
      <c r="A496" s="3" t="s">
        <v>341</v>
      </c>
      <c r="B496" s="7">
        <v>44256</v>
      </c>
      <c r="C496" s="3" t="s">
        <v>36</v>
      </c>
      <c r="D496" s="8">
        <v>89.638862058361326</v>
      </c>
      <c r="E496" s="8">
        <v>252.32087847489558</v>
      </c>
      <c r="F496" s="9">
        <v>602271.8551616862</v>
      </c>
      <c r="G496" s="10">
        <v>0</v>
      </c>
      <c r="H496" s="9">
        <v>408000</v>
      </c>
      <c r="I496" s="10">
        <v>1</v>
      </c>
      <c r="J496" s="9">
        <v>408000</v>
      </c>
      <c r="K496" s="9">
        <v>41601.353955457722</v>
      </c>
      <c r="L496" s="10">
        <v>12</v>
      </c>
      <c r="M496" s="10">
        <v>0</v>
      </c>
      <c r="N496" s="9">
        <v>0</v>
      </c>
      <c r="O496" s="9">
        <f t="shared" si="2"/>
        <v>10200</v>
      </c>
      <c r="P496" s="9">
        <f t="shared" si="3"/>
        <v>8160</v>
      </c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spans="1:42" ht="13.2" x14ac:dyDescent="0.25">
      <c r="A497" s="3" t="s">
        <v>342</v>
      </c>
      <c r="B497" s="7">
        <v>44256</v>
      </c>
      <c r="C497" s="3" t="s">
        <v>63</v>
      </c>
      <c r="D497" s="8">
        <v>18.875935284635798</v>
      </c>
      <c r="E497" s="8">
        <v>363.17661865875272</v>
      </c>
      <c r="F497" s="9">
        <v>138760.3460039373</v>
      </c>
      <c r="G497" s="10">
        <v>0</v>
      </c>
      <c r="H497" s="9">
        <v>100000</v>
      </c>
      <c r="I497" s="10">
        <v>1</v>
      </c>
      <c r="J497" s="9">
        <v>100000</v>
      </c>
      <c r="K497" s="9">
        <v>6989.8726299208029</v>
      </c>
      <c r="L497" s="10">
        <v>8</v>
      </c>
      <c r="M497" s="10">
        <v>0</v>
      </c>
      <c r="N497" s="9">
        <v>0</v>
      </c>
      <c r="O497" s="9">
        <f t="shared" si="2"/>
        <v>2500</v>
      </c>
      <c r="P497" s="9">
        <f t="shared" si="3"/>
        <v>2000</v>
      </c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spans="1:42" ht="13.2" x14ac:dyDescent="0.25">
      <c r="A498" s="3" t="s">
        <v>229</v>
      </c>
      <c r="B498" s="7">
        <v>44256</v>
      </c>
      <c r="C498" s="3" t="s">
        <v>36</v>
      </c>
      <c r="D498" s="8">
        <v>17.956993004014514</v>
      </c>
      <c r="E498" s="8">
        <v>216.27974546311566</v>
      </c>
      <c r="F498" s="9">
        <v>60330.923889057194</v>
      </c>
      <c r="G498" s="10">
        <v>0</v>
      </c>
      <c r="H498" s="9">
        <v>60000</v>
      </c>
      <c r="I498" s="10">
        <v>1</v>
      </c>
      <c r="J498" s="9">
        <v>60000</v>
      </c>
      <c r="K498" s="9">
        <v>5466.8481501725209</v>
      </c>
      <c r="L498" s="10">
        <v>6</v>
      </c>
      <c r="M498" s="10">
        <v>0</v>
      </c>
      <c r="N498" s="9">
        <v>0</v>
      </c>
      <c r="O498" s="9">
        <f t="shared" si="2"/>
        <v>1500</v>
      </c>
      <c r="P498" s="9">
        <f t="shared" si="3"/>
        <v>1200</v>
      </c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spans="1:42" ht="13.2" x14ac:dyDescent="0.25">
      <c r="A499" s="3" t="s">
        <v>343</v>
      </c>
      <c r="B499" s="7">
        <v>44256</v>
      </c>
      <c r="C499" s="3" t="s">
        <v>36</v>
      </c>
      <c r="D499" s="8">
        <v>17.729538965725052</v>
      </c>
      <c r="E499" s="8">
        <v>60</v>
      </c>
      <c r="F499" s="9">
        <v>453806.95578860509</v>
      </c>
      <c r="G499" s="10">
        <v>0</v>
      </c>
      <c r="H499" s="9">
        <v>710000</v>
      </c>
      <c r="I499" s="10">
        <v>0</v>
      </c>
      <c r="J499" s="9">
        <v>0</v>
      </c>
      <c r="K499" s="9">
        <v>0</v>
      </c>
      <c r="L499" s="10">
        <v>0</v>
      </c>
      <c r="M499" s="10">
        <v>0</v>
      </c>
      <c r="N499" s="9">
        <v>0</v>
      </c>
      <c r="O499" s="9">
        <f t="shared" si="2"/>
        <v>0</v>
      </c>
      <c r="P499" s="9">
        <f t="shared" si="3"/>
        <v>0</v>
      </c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spans="1:42" ht="13.2" x14ac:dyDescent="0.25">
      <c r="A500" s="3" t="s">
        <v>67</v>
      </c>
      <c r="B500" s="7">
        <v>44256</v>
      </c>
      <c r="C500" s="3" t="s">
        <v>36</v>
      </c>
      <c r="D500" s="8">
        <v>30.806411519556381</v>
      </c>
      <c r="E500" s="8">
        <v>60</v>
      </c>
      <c r="F500" s="9">
        <v>262390.32683201053</v>
      </c>
      <c r="G500" s="10">
        <v>0</v>
      </c>
      <c r="H500" s="9">
        <v>392000</v>
      </c>
      <c r="I500" s="10">
        <v>0</v>
      </c>
      <c r="J500" s="9">
        <v>0</v>
      </c>
      <c r="K500" s="9">
        <v>0</v>
      </c>
      <c r="L500" s="10">
        <v>0</v>
      </c>
      <c r="M500" s="10">
        <v>0</v>
      </c>
      <c r="N500" s="9">
        <v>0</v>
      </c>
      <c r="O500" s="9">
        <f t="shared" si="2"/>
        <v>0</v>
      </c>
      <c r="P500" s="9">
        <f t="shared" si="3"/>
        <v>0</v>
      </c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spans="1:42" ht="13.2" x14ac:dyDescent="0.25">
      <c r="A501" s="3" t="s">
        <v>344</v>
      </c>
      <c r="B501" s="7">
        <v>44256</v>
      </c>
      <c r="C501" s="3" t="s">
        <v>39</v>
      </c>
      <c r="D501" s="8">
        <v>105.84334184062362</v>
      </c>
      <c r="E501" s="8">
        <v>98.23967456479437</v>
      </c>
      <c r="F501" s="9">
        <v>155572.41342451368</v>
      </c>
      <c r="G501" s="10">
        <v>1</v>
      </c>
      <c r="H501" s="9">
        <v>160000</v>
      </c>
      <c r="I501" s="10">
        <v>1</v>
      </c>
      <c r="J501" s="9">
        <v>160000</v>
      </c>
      <c r="K501" s="9">
        <v>918.53606962858771</v>
      </c>
      <c r="L501" s="10">
        <v>6</v>
      </c>
      <c r="M501" s="10">
        <v>0</v>
      </c>
      <c r="N501" s="9">
        <v>0</v>
      </c>
      <c r="O501" s="9">
        <f t="shared" si="2"/>
        <v>4000</v>
      </c>
      <c r="P501" s="9">
        <f t="shared" si="3"/>
        <v>3200</v>
      </c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spans="1:42" ht="13.2" x14ac:dyDescent="0.25">
      <c r="A502" s="3" t="s">
        <v>345</v>
      </c>
      <c r="B502" s="7">
        <v>44256</v>
      </c>
      <c r="C502" s="3" t="s">
        <v>36</v>
      </c>
      <c r="D502" s="8">
        <v>3</v>
      </c>
      <c r="E502" s="8">
        <v>256.25542026750236</v>
      </c>
      <c r="F502" s="9">
        <v>464883.72282195219</v>
      </c>
      <c r="G502" s="10">
        <v>-1</v>
      </c>
      <c r="H502" s="9">
        <v>310000</v>
      </c>
      <c r="I502" s="10">
        <v>1</v>
      </c>
      <c r="J502" s="9">
        <v>310000</v>
      </c>
      <c r="K502" s="9">
        <v>41378.384753068494</v>
      </c>
      <c r="L502" s="10">
        <v>6</v>
      </c>
      <c r="M502" s="10">
        <v>0</v>
      </c>
      <c r="N502" s="9">
        <v>0</v>
      </c>
      <c r="O502" s="9">
        <f t="shared" si="2"/>
        <v>7750</v>
      </c>
      <c r="P502" s="9">
        <f t="shared" si="3"/>
        <v>6200</v>
      </c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spans="1:42" ht="13.2" x14ac:dyDescent="0.25">
      <c r="A503" s="3" t="s">
        <v>43</v>
      </c>
      <c r="B503" s="7">
        <v>44256</v>
      </c>
      <c r="C503" s="3" t="s">
        <v>36</v>
      </c>
      <c r="D503" s="8">
        <v>27.824488601078986</v>
      </c>
      <c r="E503" s="8">
        <v>76.577360223937745</v>
      </c>
      <c r="F503" s="9">
        <v>33567.230375981337</v>
      </c>
      <c r="G503" s="10">
        <v>-1</v>
      </c>
      <c r="H503" s="9">
        <v>50000</v>
      </c>
      <c r="I503" s="10">
        <v>0</v>
      </c>
      <c r="J503" s="9">
        <v>0</v>
      </c>
      <c r="K503" s="9">
        <v>0</v>
      </c>
      <c r="L503" s="10">
        <v>0</v>
      </c>
      <c r="M503" s="10">
        <v>0</v>
      </c>
      <c r="N503" s="9">
        <v>0</v>
      </c>
      <c r="O503" s="9">
        <f t="shared" si="2"/>
        <v>0</v>
      </c>
      <c r="P503" s="9">
        <f t="shared" si="3"/>
        <v>0</v>
      </c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spans="1:42" ht="13.2" x14ac:dyDescent="0.25">
      <c r="A504" s="3" t="s">
        <v>131</v>
      </c>
      <c r="B504" s="7">
        <v>44256</v>
      </c>
      <c r="C504" s="3" t="s">
        <v>36</v>
      </c>
      <c r="D504" s="8">
        <v>3.287660336883242</v>
      </c>
      <c r="E504" s="8">
        <v>76.584895462466207</v>
      </c>
      <c r="F504" s="9">
        <v>31935.9623458692</v>
      </c>
      <c r="G504" s="10">
        <v>0</v>
      </c>
      <c r="H504" s="9">
        <v>70000</v>
      </c>
      <c r="I504" s="10">
        <v>0</v>
      </c>
      <c r="J504" s="9">
        <v>0</v>
      </c>
      <c r="K504" s="9">
        <v>0</v>
      </c>
      <c r="L504" s="10">
        <v>0</v>
      </c>
      <c r="M504" s="10">
        <v>0</v>
      </c>
      <c r="N504" s="9">
        <v>0</v>
      </c>
      <c r="O504" s="9">
        <f t="shared" si="2"/>
        <v>0</v>
      </c>
      <c r="P504" s="9">
        <f t="shared" si="3"/>
        <v>0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spans="1:42" ht="13.2" x14ac:dyDescent="0.25">
      <c r="A505" s="3" t="s">
        <v>276</v>
      </c>
      <c r="B505" s="7">
        <v>44256</v>
      </c>
      <c r="C505" s="3" t="s">
        <v>36</v>
      </c>
      <c r="D505" s="8">
        <v>113.41867930620413</v>
      </c>
      <c r="E505" s="8">
        <v>213.34162374676586</v>
      </c>
      <c r="F505" s="9">
        <v>105408.9062525269</v>
      </c>
      <c r="G505" s="10">
        <v>-1</v>
      </c>
      <c r="H505" s="9">
        <v>70000</v>
      </c>
      <c r="I505" s="10">
        <v>1</v>
      </c>
      <c r="J505" s="9">
        <v>70000</v>
      </c>
      <c r="K505" s="9">
        <v>5579.1298228959431</v>
      </c>
      <c r="L505" s="10">
        <v>5</v>
      </c>
      <c r="M505" s="10">
        <v>0</v>
      </c>
      <c r="N505" s="9">
        <v>0</v>
      </c>
      <c r="O505" s="9">
        <f t="shared" si="2"/>
        <v>1750</v>
      </c>
      <c r="P505" s="9">
        <f t="shared" si="3"/>
        <v>1400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spans="1:42" ht="13.2" x14ac:dyDescent="0.25">
      <c r="A506" s="3" t="s">
        <v>346</v>
      </c>
      <c r="B506" s="7">
        <v>44256</v>
      </c>
      <c r="C506" s="3" t="s">
        <v>36</v>
      </c>
      <c r="D506" s="8">
        <v>44.022238044587297</v>
      </c>
      <c r="E506" s="8">
        <v>60</v>
      </c>
      <c r="F506" s="9">
        <v>406346.28466192674</v>
      </c>
      <c r="G506" s="10">
        <v>0</v>
      </c>
      <c r="H506" s="9">
        <v>730000</v>
      </c>
      <c r="I506" s="10">
        <v>0</v>
      </c>
      <c r="J506" s="9">
        <v>0</v>
      </c>
      <c r="K506" s="9">
        <v>0</v>
      </c>
      <c r="L506" s="10">
        <v>0</v>
      </c>
      <c r="M506" s="10">
        <v>0</v>
      </c>
      <c r="N506" s="9">
        <v>0</v>
      </c>
      <c r="O506" s="9">
        <f t="shared" si="2"/>
        <v>0</v>
      </c>
      <c r="P506" s="9">
        <f t="shared" si="3"/>
        <v>0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spans="1:42" ht="13.2" x14ac:dyDescent="0.25">
      <c r="A507" s="3" t="s">
        <v>347</v>
      </c>
      <c r="B507" s="7">
        <v>44256</v>
      </c>
      <c r="C507" s="3" t="s">
        <v>39</v>
      </c>
      <c r="D507" s="8">
        <v>6.9123329918112972</v>
      </c>
      <c r="E507" s="8">
        <v>320.20554472953472</v>
      </c>
      <c r="F507" s="9">
        <v>284337.01333234459</v>
      </c>
      <c r="G507" s="10">
        <v>0</v>
      </c>
      <c r="H507" s="9">
        <v>179000</v>
      </c>
      <c r="I507" s="10">
        <v>1</v>
      </c>
      <c r="J507" s="9">
        <v>179000</v>
      </c>
      <c r="K507" s="9">
        <v>8985.5004280458816</v>
      </c>
      <c r="L507" s="10">
        <v>6</v>
      </c>
      <c r="M507" s="10">
        <v>0</v>
      </c>
      <c r="N507" s="9">
        <v>0</v>
      </c>
      <c r="O507" s="9">
        <f t="shared" si="2"/>
        <v>4475</v>
      </c>
      <c r="P507" s="9">
        <f t="shared" si="3"/>
        <v>3580</v>
      </c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spans="1:42" ht="13.2" x14ac:dyDescent="0.25">
      <c r="A508" s="3" t="s">
        <v>182</v>
      </c>
      <c r="B508" s="7">
        <v>44256</v>
      </c>
      <c r="C508" s="3" t="s">
        <v>36</v>
      </c>
      <c r="D508" s="8">
        <v>3</v>
      </c>
      <c r="E508" s="8">
        <v>60</v>
      </c>
      <c r="F508" s="9">
        <v>12490.588984068807</v>
      </c>
      <c r="G508" s="10">
        <v>-1</v>
      </c>
      <c r="H508" s="9">
        <v>20000</v>
      </c>
      <c r="I508" s="10">
        <v>0</v>
      </c>
      <c r="J508" s="9">
        <v>0</v>
      </c>
      <c r="K508" s="9">
        <v>0</v>
      </c>
      <c r="L508" s="10">
        <v>0</v>
      </c>
      <c r="M508" s="10">
        <v>0</v>
      </c>
      <c r="N508" s="9">
        <v>0</v>
      </c>
      <c r="O508" s="9">
        <f t="shared" si="2"/>
        <v>0</v>
      </c>
      <c r="P508" s="9">
        <f t="shared" si="3"/>
        <v>0</v>
      </c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spans="1:42" ht="13.2" x14ac:dyDescent="0.25">
      <c r="A509" s="3" t="s">
        <v>348</v>
      </c>
      <c r="B509" s="7">
        <v>44256</v>
      </c>
      <c r="C509" s="3" t="s">
        <v>36</v>
      </c>
      <c r="D509" s="8">
        <v>39.451769964754661</v>
      </c>
      <c r="E509" s="8">
        <v>362.7665118874412</v>
      </c>
      <c r="F509" s="9">
        <v>245274.95484534718</v>
      </c>
      <c r="G509" s="10">
        <v>-1</v>
      </c>
      <c r="H509" s="9">
        <v>170000</v>
      </c>
      <c r="I509" s="10">
        <v>1</v>
      </c>
      <c r="J509" s="9">
        <v>170000</v>
      </c>
      <c r="K509" s="9">
        <v>445.72549745603573</v>
      </c>
      <c r="L509" s="10">
        <v>6</v>
      </c>
      <c r="M509" s="10">
        <v>0</v>
      </c>
      <c r="N509" s="9">
        <v>0</v>
      </c>
      <c r="O509" s="9">
        <f t="shared" si="2"/>
        <v>4250</v>
      </c>
      <c r="P509" s="9">
        <f t="shared" si="3"/>
        <v>3400</v>
      </c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spans="1:42" ht="13.2" x14ac:dyDescent="0.25">
      <c r="A510" s="3" t="s">
        <v>160</v>
      </c>
      <c r="B510" s="7">
        <v>44256</v>
      </c>
      <c r="C510" s="3" t="s">
        <v>36</v>
      </c>
      <c r="D510" s="8">
        <v>25.111289825452605</v>
      </c>
      <c r="E510" s="8">
        <v>337.81362804135784</v>
      </c>
      <c r="F510" s="9">
        <v>134514.3608177664</v>
      </c>
      <c r="G510" s="10">
        <v>1</v>
      </c>
      <c r="H510" s="9">
        <v>110000</v>
      </c>
      <c r="I510" s="10">
        <v>1</v>
      </c>
      <c r="J510" s="9">
        <v>110000</v>
      </c>
      <c r="K510" s="9">
        <v>8135.3160703942312</v>
      </c>
      <c r="L510" s="10">
        <v>6</v>
      </c>
      <c r="M510" s="10">
        <v>0</v>
      </c>
      <c r="N510" s="9">
        <v>0</v>
      </c>
      <c r="O510" s="9">
        <f t="shared" si="2"/>
        <v>2750</v>
      </c>
      <c r="P510" s="9">
        <f t="shared" si="3"/>
        <v>2200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spans="1:42" ht="13.2" x14ac:dyDescent="0.25">
      <c r="A511" s="3" t="s">
        <v>349</v>
      </c>
      <c r="B511" s="7">
        <v>44256</v>
      </c>
      <c r="C511" s="3" t="s">
        <v>36</v>
      </c>
      <c r="D511" s="8">
        <v>3</v>
      </c>
      <c r="E511" s="8">
        <v>359.40366940791557</v>
      </c>
      <c r="F511" s="9">
        <v>5636.9166317680929</v>
      </c>
      <c r="G511" s="10">
        <v>0</v>
      </c>
      <c r="H511" s="9">
        <v>3750</v>
      </c>
      <c r="I511" s="10">
        <v>1</v>
      </c>
      <c r="J511" s="9">
        <v>3750</v>
      </c>
      <c r="K511" s="9">
        <v>90.954814591925881</v>
      </c>
      <c r="L511" s="10">
        <v>4</v>
      </c>
      <c r="M511" s="10">
        <v>0</v>
      </c>
      <c r="N511" s="9">
        <v>0</v>
      </c>
      <c r="O511" s="9">
        <f t="shared" si="2"/>
        <v>93.75</v>
      </c>
      <c r="P511" s="9">
        <f t="shared" si="3"/>
        <v>75</v>
      </c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spans="1:42" ht="13.2" x14ac:dyDescent="0.25">
      <c r="A512" s="3" t="s">
        <v>307</v>
      </c>
      <c r="B512" s="7">
        <v>44256</v>
      </c>
      <c r="C512" s="3" t="s">
        <v>36</v>
      </c>
      <c r="D512" s="8">
        <v>56.084606173367163</v>
      </c>
      <c r="E512" s="8">
        <v>226.86269007823998</v>
      </c>
      <c r="F512" s="9">
        <v>105246.29926387974</v>
      </c>
      <c r="G512" s="10">
        <v>0</v>
      </c>
      <c r="H512" s="9">
        <v>70000</v>
      </c>
      <c r="I512" s="10">
        <v>1</v>
      </c>
      <c r="J512" s="9">
        <v>70000</v>
      </c>
      <c r="K512" s="9">
        <v>4427.3515195552336</v>
      </c>
      <c r="L512" s="10">
        <v>6</v>
      </c>
      <c r="M512" s="10">
        <v>0</v>
      </c>
      <c r="N512" s="9">
        <v>0</v>
      </c>
      <c r="O512" s="9">
        <f t="shared" ref="O512:O766" si="4">2.5%*J512</f>
        <v>1750</v>
      </c>
      <c r="P512" s="9">
        <f t="shared" ref="P512:P766" si="5">2%*J512</f>
        <v>1400</v>
      </c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spans="1:42" ht="13.2" x14ac:dyDescent="0.25">
      <c r="A513" s="3" t="s">
        <v>228</v>
      </c>
      <c r="B513" s="7">
        <v>44256</v>
      </c>
      <c r="C513" s="3" t="s">
        <v>39</v>
      </c>
      <c r="D513" s="8">
        <v>10.329768275541493</v>
      </c>
      <c r="E513" s="8">
        <v>60</v>
      </c>
      <c r="F513" s="9">
        <v>34639.230884136246</v>
      </c>
      <c r="G513" s="10">
        <v>-1</v>
      </c>
      <c r="H513" s="9">
        <v>50000</v>
      </c>
      <c r="I513" s="10">
        <v>0</v>
      </c>
      <c r="J513" s="9">
        <v>0</v>
      </c>
      <c r="K513" s="9">
        <v>0</v>
      </c>
      <c r="L513" s="10">
        <v>0</v>
      </c>
      <c r="M513" s="10">
        <v>0</v>
      </c>
      <c r="N513" s="9">
        <v>0</v>
      </c>
      <c r="O513" s="9">
        <f t="shared" si="4"/>
        <v>0</v>
      </c>
      <c r="P513" s="9">
        <f t="shared" si="5"/>
        <v>0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spans="1:42" ht="13.2" x14ac:dyDescent="0.25">
      <c r="A514" s="3" t="s">
        <v>350</v>
      </c>
      <c r="B514" s="7">
        <v>44256</v>
      </c>
      <c r="C514" s="3" t="s">
        <v>36</v>
      </c>
      <c r="D514" s="8">
        <v>47.209714786852281</v>
      </c>
      <c r="E514" s="8">
        <v>60</v>
      </c>
      <c r="F514" s="9">
        <v>209258.80871057944</v>
      </c>
      <c r="G514" s="10">
        <v>-1</v>
      </c>
      <c r="H514" s="9">
        <v>330000</v>
      </c>
      <c r="I514" s="10">
        <v>1</v>
      </c>
      <c r="J514" s="9">
        <v>330000</v>
      </c>
      <c r="K514" s="9">
        <v>35538.50365934924</v>
      </c>
      <c r="L514" s="10">
        <v>6</v>
      </c>
      <c r="M514" s="10">
        <v>0</v>
      </c>
      <c r="N514" s="9">
        <v>0</v>
      </c>
      <c r="O514" s="9">
        <f t="shared" si="4"/>
        <v>8250</v>
      </c>
      <c r="P514" s="9">
        <f t="shared" si="5"/>
        <v>6600</v>
      </c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spans="1:42" ht="13.2" x14ac:dyDescent="0.25">
      <c r="A515" s="3" t="s">
        <v>35</v>
      </c>
      <c r="B515" s="7">
        <v>44256</v>
      </c>
      <c r="C515" s="3" t="s">
        <v>36</v>
      </c>
      <c r="D515" s="8">
        <v>10.864287097824761</v>
      </c>
      <c r="E515" s="8">
        <v>60</v>
      </c>
      <c r="F515" s="9">
        <v>32694.917603099828</v>
      </c>
      <c r="G515" s="10">
        <v>1</v>
      </c>
      <c r="H515" s="9">
        <v>60000</v>
      </c>
      <c r="I515" s="10">
        <v>0</v>
      </c>
      <c r="J515" s="9">
        <v>0</v>
      </c>
      <c r="K515" s="9">
        <v>0</v>
      </c>
      <c r="L515" s="10">
        <v>0</v>
      </c>
      <c r="M515" s="10">
        <v>0</v>
      </c>
      <c r="N515" s="9">
        <v>0</v>
      </c>
      <c r="O515" s="9">
        <f t="shared" si="4"/>
        <v>0</v>
      </c>
      <c r="P515" s="9">
        <f t="shared" si="5"/>
        <v>0</v>
      </c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spans="1:42" ht="13.2" x14ac:dyDescent="0.25">
      <c r="A516" s="3" t="s">
        <v>165</v>
      </c>
      <c r="B516" s="7">
        <v>44256</v>
      </c>
      <c r="C516" s="3" t="s">
        <v>36</v>
      </c>
      <c r="D516" s="8">
        <v>72.119946718657772</v>
      </c>
      <c r="E516" s="8">
        <v>60</v>
      </c>
      <c r="F516" s="9">
        <v>124573.27224946559</v>
      </c>
      <c r="G516" s="10">
        <v>-1</v>
      </c>
      <c r="H516" s="9">
        <v>100000</v>
      </c>
      <c r="I516" s="10">
        <v>0</v>
      </c>
      <c r="J516" s="9">
        <v>0</v>
      </c>
      <c r="K516" s="9">
        <v>0</v>
      </c>
      <c r="L516" s="10">
        <v>0</v>
      </c>
      <c r="M516" s="10">
        <v>0</v>
      </c>
      <c r="N516" s="9">
        <v>0</v>
      </c>
      <c r="O516" s="9">
        <f t="shared" si="4"/>
        <v>0</v>
      </c>
      <c r="P516" s="9">
        <f t="shared" si="5"/>
        <v>0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spans="1:42" ht="13.2" x14ac:dyDescent="0.25">
      <c r="A517" s="3" t="s">
        <v>314</v>
      </c>
      <c r="B517" s="7">
        <v>44256</v>
      </c>
      <c r="C517" s="3" t="s">
        <v>36</v>
      </c>
      <c r="D517" s="8">
        <v>3.8101829685076698</v>
      </c>
      <c r="E517" s="8">
        <v>224.20051516867733</v>
      </c>
      <c r="F517" s="9">
        <v>198531.03046231205</v>
      </c>
      <c r="G517" s="10">
        <v>1</v>
      </c>
      <c r="H517" s="9">
        <v>320000</v>
      </c>
      <c r="I517" s="10">
        <v>1</v>
      </c>
      <c r="J517" s="9">
        <v>320000</v>
      </c>
      <c r="K517" s="9">
        <v>48822.702861466089</v>
      </c>
      <c r="L517" s="10">
        <v>7</v>
      </c>
      <c r="M517" s="10">
        <v>1</v>
      </c>
      <c r="N517" s="9">
        <v>176445</v>
      </c>
      <c r="O517" s="9">
        <f t="shared" si="4"/>
        <v>8000</v>
      </c>
      <c r="P517" s="9">
        <f t="shared" si="5"/>
        <v>6400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spans="1:42" ht="13.2" x14ac:dyDescent="0.25">
      <c r="A518" s="3" t="s">
        <v>113</v>
      </c>
      <c r="B518" s="7">
        <v>44256</v>
      </c>
      <c r="C518" s="3" t="s">
        <v>39</v>
      </c>
      <c r="D518" s="8">
        <v>72.452513144003632</v>
      </c>
      <c r="E518" s="8">
        <v>263.93993135646974</v>
      </c>
      <c r="F518" s="9">
        <v>1293453.1824165445</v>
      </c>
      <c r="G518" s="10">
        <v>0</v>
      </c>
      <c r="H518" s="9">
        <v>850000</v>
      </c>
      <c r="I518" s="10">
        <v>1</v>
      </c>
      <c r="J518" s="9">
        <v>850000</v>
      </c>
      <c r="K518" s="9">
        <v>79691.260135844073</v>
      </c>
      <c r="L518" s="10">
        <v>6</v>
      </c>
      <c r="M518" s="10">
        <v>0</v>
      </c>
      <c r="N518" s="9">
        <v>0</v>
      </c>
      <c r="O518" s="9">
        <f t="shared" si="4"/>
        <v>21250</v>
      </c>
      <c r="P518" s="9">
        <f t="shared" si="5"/>
        <v>17000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spans="1:42" ht="13.2" x14ac:dyDescent="0.25">
      <c r="A519" s="3" t="s">
        <v>168</v>
      </c>
      <c r="B519" s="7">
        <v>44256</v>
      </c>
      <c r="C519" s="3" t="s">
        <v>39</v>
      </c>
      <c r="D519" s="8">
        <v>66.741690871811826</v>
      </c>
      <c r="E519" s="8">
        <v>331.97557767181178</v>
      </c>
      <c r="F519" s="9">
        <v>943225.74814397469</v>
      </c>
      <c r="G519" s="10">
        <v>0</v>
      </c>
      <c r="H519" s="9">
        <v>630000</v>
      </c>
      <c r="I519" s="10">
        <v>1</v>
      </c>
      <c r="J519" s="9">
        <v>630000</v>
      </c>
      <c r="K519" s="9">
        <v>51955.925478356548</v>
      </c>
      <c r="L519" s="10">
        <v>6</v>
      </c>
      <c r="M519" s="10">
        <v>0</v>
      </c>
      <c r="N519" s="9">
        <v>0</v>
      </c>
      <c r="O519" s="9">
        <f t="shared" si="4"/>
        <v>15750</v>
      </c>
      <c r="P519" s="9">
        <f t="shared" si="5"/>
        <v>12600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spans="1:42" ht="13.2" x14ac:dyDescent="0.25">
      <c r="A520" s="3" t="s">
        <v>351</v>
      </c>
      <c r="B520" s="7">
        <v>44256</v>
      </c>
      <c r="C520" s="3" t="s">
        <v>39</v>
      </c>
      <c r="D520" s="8">
        <v>39.969763173323656</v>
      </c>
      <c r="E520" s="8">
        <v>188.72534590214511</v>
      </c>
      <c r="F520" s="9">
        <v>73383.101520139651</v>
      </c>
      <c r="G520" s="10">
        <v>-1</v>
      </c>
      <c r="H520" s="9">
        <v>60000</v>
      </c>
      <c r="I520" s="10">
        <v>0</v>
      </c>
      <c r="J520" s="9">
        <v>0</v>
      </c>
      <c r="K520" s="9">
        <v>0</v>
      </c>
      <c r="L520" s="10">
        <v>0</v>
      </c>
      <c r="M520" s="10">
        <v>0</v>
      </c>
      <c r="N520" s="9">
        <v>0</v>
      </c>
      <c r="O520" s="9">
        <f t="shared" si="4"/>
        <v>0</v>
      </c>
      <c r="P520" s="9">
        <f t="shared" si="5"/>
        <v>0</v>
      </c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spans="1:42" ht="13.2" x14ac:dyDescent="0.25">
      <c r="A521" s="3" t="s">
        <v>238</v>
      </c>
      <c r="B521" s="7">
        <v>44256</v>
      </c>
      <c r="C521" s="3" t="s">
        <v>39</v>
      </c>
      <c r="D521" s="8">
        <v>8.8501739309955667</v>
      </c>
      <c r="E521" s="8">
        <v>60</v>
      </c>
      <c r="F521" s="9">
        <v>61058.461352700215</v>
      </c>
      <c r="G521" s="10">
        <v>-1</v>
      </c>
      <c r="H521" s="9">
        <v>110000</v>
      </c>
      <c r="I521" s="10">
        <v>0</v>
      </c>
      <c r="J521" s="9">
        <v>0</v>
      </c>
      <c r="K521" s="9">
        <v>0</v>
      </c>
      <c r="L521" s="10">
        <v>0</v>
      </c>
      <c r="M521" s="10">
        <v>0</v>
      </c>
      <c r="N521" s="9">
        <v>0</v>
      </c>
      <c r="O521" s="9">
        <f t="shared" si="4"/>
        <v>0</v>
      </c>
      <c r="P521" s="9">
        <f t="shared" si="5"/>
        <v>0</v>
      </c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spans="1:42" ht="13.2" x14ac:dyDescent="0.25">
      <c r="A522" s="3" t="s">
        <v>90</v>
      </c>
      <c r="B522" s="7">
        <v>44256</v>
      </c>
      <c r="C522" s="3" t="s">
        <v>36</v>
      </c>
      <c r="D522" s="8">
        <v>17.128530904416039</v>
      </c>
      <c r="E522" s="8">
        <v>352.27175550999834</v>
      </c>
      <c r="F522" s="9">
        <v>97307.681177362043</v>
      </c>
      <c r="G522" s="10">
        <v>-1</v>
      </c>
      <c r="H522" s="9">
        <v>100000</v>
      </c>
      <c r="I522" s="10">
        <v>0</v>
      </c>
      <c r="J522" s="9">
        <v>0</v>
      </c>
      <c r="K522" s="9">
        <v>0</v>
      </c>
      <c r="L522" s="10">
        <v>0</v>
      </c>
      <c r="M522" s="10">
        <v>0</v>
      </c>
      <c r="N522" s="9">
        <v>0</v>
      </c>
      <c r="O522" s="9">
        <f t="shared" si="4"/>
        <v>0</v>
      </c>
      <c r="P522" s="9">
        <f t="shared" si="5"/>
        <v>0</v>
      </c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spans="1:42" ht="13.2" x14ac:dyDescent="0.25">
      <c r="A523" s="3" t="s">
        <v>102</v>
      </c>
      <c r="B523" s="7">
        <v>44256</v>
      </c>
      <c r="C523" s="3" t="s">
        <v>36</v>
      </c>
      <c r="D523" s="8">
        <v>40.364972901153372</v>
      </c>
      <c r="E523" s="8">
        <v>129.61762527227626</v>
      </c>
      <c r="F523" s="9">
        <v>54157.298561079559</v>
      </c>
      <c r="G523" s="10">
        <v>0</v>
      </c>
      <c r="H523" s="9">
        <v>80000</v>
      </c>
      <c r="I523" s="10">
        <v>0</v>
      </c>
      <c r="J523" s="9">
        <v>0</v>
      </c>
      <c r="K523" s="9">
        <v>0</v>
      </c>
      <c r="L523" s="10">
        <v>0</v>
      </c>
      <c r="M523" s="10">
        <v>0</v>
      </c>
      <c r="N523" s="9">
        <v>0</v>
      </c>
      <c r="O523" s="9">
        <f t="shared" si="4"/>
        <v>0</v>
      </c>
      <c r="P523" s="9">
        <f t="shared" si="5"/>
        <v>0</v>
      </c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spans="1:42" ht="13.2" x14ac:dyDescent="0.25">
      <c r="A524" s="3" t="s">
        <v>352</v>
      </c>
      <c r="B524" s="7">
        <v>44256</v>
      </c>
      <c r="C524" s="3" t="s">
        <v>39</v>
      </c>
      <c r="D524" s="8">
        <v>49.112558140268241</v>
      </c>
      <c r="E524" s="8">
        <v>260.5394715964697</v>
      </c>
      <c r="F524" s="9">
        <v>838088.14700066322</v>
      </c>
      <c r="G524" s="10">
        <v>0</v>
      </c>
      <c r="H524" s="9">
        <v>550000</v>
      </c>
      <c r="I524" s="10">
        <v>1</v>
      </c>
      <c r="J524" s="9">
        <v>550000</v>
      </c>
      <c r="K524" s="9">
        <v>49208.457055239443</v>
      </c>
      <c r="L524" s="10">
        <v>6</v>
      </c>
      <c r="M524" s="10">
        <v>0</v>
      </c>
      <c r="N524" s="9">
        <v>0</v>
      </c>
      <c r="O524" s="9">
        <f t="shared" si="4"/>
        <v>13750</v>
      </c>
      <c r="P524" s="9">
        <f t="shared" si="5"/>
        <v>11000</v>
      </c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spans="1:42" ht="13.2" x14ac:dyDescent="0.25">
      <c r="A525" s="3" t="s">
        <v>353</v>
      </c>
      <c r="B525" s="7">
        <v>44256</v>
      </c>
      <c r="C525" s="3" t="s">
        <v>63</v>
      </c>
      <c r="D525" s="8">
        <v>130.7868350523155</v>
      </c>
      <c r="E525" s="8">
        <v>94.695618214894949</v>
      </c>
      <c r="F525" s="9">
        <v>236079.7968029427</v>
      </c>
      <c r="G525" s="10">
        <v>-1</v>
      </c>
      <c r="H525" s="9">
        <v>232000</v>
      </c>
      <c r="I525" s="10">
        <v>0</v>
      </c>
      <c r="J525" s="9">
        <v>0</v>
      </c>
      <c r="K525" s="9">
        <v>0</v>
      </c>
      <c r="L525" s="10">
        <v>0</v>
      </c>
      <c r="M525" s="10">
        <v>0</v>
      </c>
      <c r="N525" s="9">
        <v>0</v>
      </c>
      <c r="O525" s="9">
        <f t="shared" si="4"/>
        <v>0</v>
      </c>
      <c r="P525" s="9">
        <f t="shared" si="5"/>
        <v>0</v>
      </c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spans="1:42" ht="13.2" x14ac:dyDescent="0.25">
      <c r="A526" s="3" t="s">
        <v>354</v>
      </c>
      <c r="B526" s="7">
        <v>44256</v>
      </c>
      <c r="C526" s="3" t="s">
        <v>39</v>
      </c>
      <c r="D526" s="8">
        <v>31.444139582182562</v>
      </c>
      <c r="E526" s="8">
        <v>156.10133831933157</v>
      </c>
      <c r="F526" s="9">
        <v>90822.410625298595</v>
      </c>
      <c r="G526" s="10">
        <v>1</v>
      </c>
      <c r="H526" s="9">
        <v>130000</v>
      </c>
      <c r="I526" s="10">
        <v>0</v>
      </c>
      <c r="J526" s="9">
        <v>0</v>
      </c>
      <c r="K526" s="9">
        <v>0</v>
      </c>
      <c r="L526" s="10">
        <v>0</v>
      </c>
      <c r="M526" s="10">
        <v>0</v>
      </c>
      <c r="N526" s="9">
        <v>0</v>
      </c>
      <c r="O526" s="9">
        <f t="shared" si="4"/>
        <v>0</v>
      </c>
      <c r="P526" s="9">
        <f t="shared" si="5"/>
        <v>0</v>
      </c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spans="1:42" ht="13.2" x14ac:dyDescent="0.25">
      <c r="A527" s="3" t="s">
        <v>118</v>
      </c>
      <c r="B527" s="7">
        <v>44256</v>
      </c>
      <c r="C527" s="3" t="s">
        <v>36</v>
      </c>
      <c r="D527" s="8">
        <v>69.873701295301487</v>
      </c>
      <c r="E527" s="8">
        <v>278.64084352472094</v>
      </c>
      <c r="F527" s="9">
        <v>237401.09849521966</v>
      </c>
      <c r="G527" s="10">
        <v>0</v>
      </c>
      <c r="H527" s="9">
        <v>150000</v>
      </c>
      <c r="I527" s="10">
        <v>1</v>
      </c>
      <c r="J527" s="9">
        <v>150000</v>
      </c>
      <c r="K527" s="9">
        <v>8559.9731825041563</v>
      </c>
      <c r="L527" s="10">
        <v>6</v>
      </c>
      <c r="M527" s="10">
        <v>0</v>
      </c>
      <c r="N527" s="9">
        <v>0</v>
      </c>
      <c r="O527" s="9">
        <f t="shared" si="4"/>
        <v>3750</v>
      </c>
      <c r="P527" s="9">
        <f t="shared" si="5"/>
        <v>3000</v>
      </c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spans="1:42" ht="13.2" x14ac:dyDescent="0.25">
      <c r="A528" s="3" t="s">
        <v>175</v>
      </c>
      <c r="B528" s="7">
        <v>44256</v>
      </c>
      <c r="C528" s="3" t="s">
        <v>36</v>
      </c>
      <c r="D528" s="8">
        <v>21.618424371110457</v>
      </c>
      <c r="E528" s="8">
        <v>60</v>
      </c>
      <c r="F528" s="9">
        <v>512538.66880496813</v>
      </c>
      <c r="G528" s="10">
        <v>0</v>
      </c>
      <c r="H528" s="9">
        <v>750000</v>
      </c>
      <c r="I528" s="10">
        <v>1</v>
      </c>
      <c r="J528" s="9">
        <v>750000</v>
      </c>
      <c r="K528" s="9">
        <v>57455.695074285475</v>
      </c>
      <c r="L528" s="10">
        <v>6</v>
      </c>
      <c r="M528" s="10">
        <v>0</v>
      </c>
      <c r="N528" s="9">
        <v>0</v>
      </c>
      <c r="O528" s="9">
        <f t="shared" si="4"/>
        <v>18750</v>
      </c>
      <c r="P528" s="9">
        <f t="shared" si="5"/>
        <v>15000</v>
      </c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spans="1:42" ht="13.2" x14ac:dyDescent="0.25">
      <c r="A529" s="3" t="s">
        <v>355</v>
      </c>
      <c r="B529" s="7">
        <v>44256</v>
      </c>
      <c r="C529" s="3" t="s">
        <v>36</v>
      </c>
      <c r="D529" s="8">
        <v>27.650829530752404</v>
      </c>
      <c r="E529" s="8">
        <v>189.68675450680263</v>
      </c>
      <c r="F529" s="9">
        <v>9800.6920295215969</v>
      </c>
      <c r="G529" s="10">
        <v>-1</v>
      </c>
      <c r="H529" s="9">
        <v>10000</v>
      </c>
      <c r="I529" s="10">
        <v>0</v>
      </c>
      <c r="J529" s="9">
        <v>0</v>
      </c>
      <c r="K529" s="9">
        <v>0</v>
      </c>
      <c r="L529" s="10">
        <v>0</v>
      </c>
      <c r="M529" s="10">
        <v>0</v>
      </c>
      <c r="N529" s="9">
        <v>0</v>
      </c>
      <c r="O529" s="9">
        <f t="shared" si="4"/>
        <v>0</v>
      </c>
      <c r="P529" s="9">
        <f t="shared" si="5"/>
        <v>0</v>
      </c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spans="1:42" ht="13.2" x14ac:dyDescent="0.25">
      <c r="A530" s="3" t="s">
        <v>159</v>
      </c>
      <c r="B530" s="7">
        <v>44256</v>
      </c>
      <c r="C530" s="3" t="s">
        <v>36</v>
      </c>
      <c r="D530" s="8">
        <v>3.3044473712936409</v>
      </c>
      <c r="E530" s="8">
        <v>192.2813731746746</v>
      </c>
      <c r="F530" s="9">
        <v>12701.043742597371</v>
      </c>
      <c r="G530" s="10">
        <v>1</v>
      </c>
      <c r="H530" s="9">
        <v>20000</v>
      </c>
      <c r="I530" s="10">
        <v>1</v>
      </c>
      <c r="J530" s="9">
        <v>20000</v>
      </c>
      <c r="K530" s="9">
        <v>1863.1377962553097</v>
      </c>
      <c r="L530" s="10">
        <v>6</v>
      </c>
      <c r="M530" s="10">
        <v>0</v>
      </c>
      <c r="N530" s="9">
        <v>0</v>
      </c>
      <c r="O530" s="9">
        <f t="shared" si="4"/>
        <v>500</v>
      </c>
      <c r="P530" s="9">
        <f t="shared" si="5"/>
        <v>400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spans="1:42" ht="13.2" x14ac:dyDescent="0.25">
      <c r="A531" s="3" t="s">
        <v>158</v>
      </c>
      <c r="B531" s="7">
        <v>44256</v>
      </c>
      <c r="C531" s="3" t="s">
        <v>39</v>
      </c>
      <c r="D531" s="8">
        <v>3.4220136602436639</v>
      </c>
      <c r="E531" s="8">
        <v>181.70902285047936</v>
      </c>
      <c r="F531" s="9">
        <v>57396.312328883367</v>
      </c>
      <c r="G531" s="10">
        <v>0</v>
      </c>
      <c r="H531" s="9">
        <v>60000</v>
      </c>
      <c r="I531" s="10">
        <v>1</v>
      </c>
      <c r="J531" s="9">
        <v>60000</v>
      </c>
      <c r="K531" s="9">
        <v>5446.3980368059829</v>
      </c>
      <c r="L531" s="10">
        <v>6</v>
      </c>
      <c r="M531" s="10">
        <v>0</v>
      </c>
      <c r="N531" s="9">
        <v>0</v>
      </c>
      <c r="O531" s="9">
        <f t="shared" si="4"/>
        <v>1500</v>
      </c>
      <c r="P531" s="9">
        <f t="shared" si="5"/>
        <v>1200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spans="1:42" ht="13.2" x14ac:dyDescent="0.25">
      <c r="A532" s="3" t="s">
        <v>110</v>
      </c>
      <c r="B532" s="7">
        <v>44256</v>
      </c>
      <c r="C532" s="3" t="s">
        <v>36</v>
      </c>
      <c r="D532" s="8">
        <v>11.892862281883957</v>
      </c>
      <c r="E532" s="8">
        <v>191.69017500269166</v>
      </c>
      <c r="F532" s="9">
        <v>117081.56052123549</v>
      </c>
      <c r="G532" s="10">
        <v>1</v>
      </c>
      <c r="H532" s="9">
        <v>160000</v>
      </c>
      <c r="I532" s="10">
        <v>1</v>
      </c>
      <c r="J532" s="9">
        <v>160000</v>
      </c>
      <c r="K532" s="9">
        <v>16282.41132600588</v>
      </c>
      <c r="L532" s="10">
        <v>6</v>
      </c>
      <c r="M532" s="10">
        <v>0</v>
      </c>
      <c r="N532" s="9">
        <v>0</v>
      </c>
      <c r="O532" s="9">
        <f t="shared" si="4"/>
        <v>4000</v>
      </c>
      <c r="P532" s="9">
        <f t="shared" si="5"/>
        <v>3200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spans="1:42" ht="13.2" x14ac:dyDescent="0.25">
      <c r="A533" s="3" t="s">
        <v>256</v>
      </c>
      <c r="B533" s="7">
        <v>44256</v>
      </c>
      <c r="C533" s="3" t="s">
        <v>36</v>
      </c>
      <c r="D533" s="8">
        <v>3</v>
      </c>
      <c r="E533" s="8">
        <v>97.210185431249073</v>
      </c>
      <c r="F533" s="9">
        <v>6558.1899366256648</v>
      </c>
      <c r="G533" s="10">
        <v>1</v>
      </c>
      <c r="H533" s="9">
        <v>10000</v>
      </c>
      <c r="I533" s="10">
        <v>1</v>
      </c>
      <c r="J533" s="9">
        <v>10000</v>
      </c>
      <c r="K533" s="9">
        <v>831.59947857412044</v>
      </c>
      <c r="L533" s="10">
        <v>6</v>
      </c>
      <c r="M533" s="10">
        <v>0</v>
      </c>
      <c r="N533" s="9">
        <v>0</v>
      </c>
      <c r="O533" s="9">
        <f t="shared" si="4"/>
        <v>250</v>
      </c>
      <c r="P533" s="9">
        <f t="shared" si="5"/>
        <v>200</v>
      </c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spans="1:42" ht="13.2" x14ac:dyDescent="0.25">
      <c r="A534" s="3" t="s">
        <v>245</v>
      </c>
      <c r="B534" s="7">
        <v>44256</v>
      </c>
      <c r="C534" s="3" t="s">
        <v>36</v>
      </c>
      <c r="D534" s="8">
        <v>6.6241296746034664</v>
      </c>
      <c r="E534" s="8">
        <v>199.48947221339381</v>
      </c>
      <c r="F534" s="9">
        <v>187810.17959933737</v>
      </c>
      <c r="G534" s="10">
        <v>1</v>
      </c>
      <c r="H534" s="9">
        <v>180000</v>
      </c>
      <c r="I534" s="10">
        <v>0</v>
      </c>
      <c r="J534" s="9">
        <v>0</v>
      </c>
      <c r="K534" s="9">
        <v>0</v>
      </c>
      <c r="L534" s="10">
        <v>0</v>
      </c>
      <c r="M534" s="10">
        <v>0</v>
      </c>
      <c r="N534" s="9">
        <v>0</v>
      </c>
      <c r="O534" s="9">
        <f t="shared" si="4"/>
        <v>0</v>
      </c>
      <c r="P534" s="9">
        <f t="shared" si="5"/>
        <v>0</v>
      </c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spans="1:42" ht="13.2" x14ac:dyDescent="0.25">
      <c r="A535" s="3" t="s">
        <v>356</v>
      </c>
      <c r="B535" s="7">
        <v>44256</v>
      </c>
      <c r="C535" s="3" t="s">
        <v>36</v>
      </c>
      <c r="D535" s="8">
        <v>35.455808889592419</v>
      </c>
      <c r="E535" s="8">
        <v>139.03457302538169</v>
      </c>
      <c r="F535" s="9">
        <v>38841.940373484947</v>
      </c>
      <c r="G535" s="10">
        <v>0</v>
      </c>
      <c r="H535" s="9">
        <v>30000</v>
      </c>
      <c r="I535" s="10">
        <v>0</v>
      </c>
      <c r="J535" s="9">
        <v>0</v>
      </c>
      <c r="K535" s="9">
        <v>0</v>
      </c>
      <c r="L535" s="10">
        <v>0</v>
      </c>
      <c r="M535" s="10">
        <v>0</v>
      </c>
      <c r="N535" s="9">
        <v>0</v>
      </c>
      <c r="O535" s="9">
        <f t="shared" si="4"/>
        <v>0</v>
      </c>
      <c r="P535" s="9">
        <f t="shared" si="5"/>
        <v>0</v>
      </c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spans="1:42" ht="13.2" x14ac:dyDescent="0.25">
      <c r="A536" s="3" t="s">
        <v>287</v>
      </c>
      <c r="B536" s="7">
        <v>44256</v>
      </c>
      <c r="C536" s="3" t="s">
        <v>36</v>
      </c>
      <c r="D536" s="8">
        <v>54.28728178975944</v>
      </c>
      <c r="E536" s="8">
        <v>60</v>
      </c>
      <c r="F536" s="9">
        <v>8194.4153655781429</v>
      </c>
      <c r="G536" s="10">
        <v>-1</v>
      </c>
      <c r="H536" s="9">
        <v>10000</v>
      </c>
      <c r="I536" s="10">
        <v>0</v>
      </c>
      <c r="J536" s="9">
        <v>0</v>
      </c>
      <c r="K536" s="9">
        <v>0</v>
      </c>
      <c r="L536" s="10">
        <v>0</v>
      </c>
      <c r="M536" s="10">
        <v>0</v>
      </c>
      <c r="N536" s="9">
        <v>0</v>
      </c>
      <c r="O536" s="9">
        <f t="shared" si="4"/>
        <v>0</v>
      </c>
      <c r="P536" s="9">
        <f t="shared" si="5"/>
        <v>0</v>
      </c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spans="1:42" ht="13.2" x14ac:dyDescent="0.25">
      <c r="A537" s="3" t="s">
        <v>357</v>
      </c>
      <c r="B537" s="7">
        <v>44256</v>
      </c>
      <c r="C537" s="3" t="s">
        <v>63</v>
      </c>
      <c r="D537" s="8">
        <v>32.844135223081039</v>
      </c>
      <c r="E537" s="8">
        <v>190.35438062321973</v>
      </c>
      <c r="F537" s="9">
        <v>233549.46247587304</v>
      </c>
      <c r="G537" s="10">
        <v>0</v>
      </c>
      <c r="H537" s="9">
        <v>360000</v>
      </c>
      <c r="I537" s="10">
        <v>1</v>
      </c>
      <c r="J537" s="9">
        <v>360000</v>
      </c>
      <c r="K537" s="9">
        <v>28959.224429362173</v>
      </c>
      <c r="L537" s="10">
        <v>6</v>
      </c>
      <c r="M537" s="10">
        <v>0</v>
      </c>
      <c r="N537" s="9">
        <v>0</v>
      </c>
      <c r="O537" s="9">
        <f t="shared" si="4"/>
        <v>9000</v>
      </c>
      <c r="P537" s="9">
        <f t="shared" si="5"/>
        <v>7200</v>
      </c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spans="1:42" ht="13.2" x14ac:dyDescent="0.25">
      <c r="A538" s="3" t="s">
        <v>323</v>
      </c>
      <c r="B538" s="7">
        <v>44256</v>
      </c>
      <c r="C538" s="3" t="s">
        <v>36</v>
      </c>
      <c r="D538" s="8">
        <v>18.78139222032846</v>
      </c>
      <c r="E538" s="8">
        <v>60</v>
      </c>
      <c r="F538" s="9">
        <v>19925.14379351438</v>
      </c>
      <c r="G538" s="10">
        <v>1</v>
      </c>
      <c r="H538" s="9">
        <v>30000</v>
      </c>
      <c r="I538" s="10">
        <v>0</v>
      </c>
      <c r="J538" s="9">
        <v>0</v>
      </c>
      <c r="K538" s="9">
        <v>0</v>
      </c>
      <c r="L538" s="10">
        <v>0</v>
      </c>
      <c r="M538" s="10">
        <v>0</v>
      </c>
      <c r="N538" s="9">
        <v>0</v>
      </c>
      <c r="O538" s="9">
        <f t="shared" si="4"/>
        <v>0</v>
      </c>
      <c r="P538" s="9">
        <f t="shared" si="5"/>
        <v>0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spans="1:42" ht="13.2" x14ac:dyDescent="0.25">
      <c r="A539" s="3" t="s">
        <v>358</v>
      </c>
      <c r="B539" s="7">
        <v>44256</v>
      </c>
      <c r="C539" s="3" t="s">
        <v>63</v>
      </c>
      <c r="D539" s="8">
        <v>71.712498058041135</v>
      </c>
      <c r="E539" s="8">
        <v>229.87824665468204</v>
      </c>
      <c r="F539" s="9">
        <v>235844.34582623735</v>
      </c>
      <c r="G539" s="10">
        <v>-1</v>
      </c>
      <c r="H539" s="9">
        <v>150000</v>
      </c>
      <c r="I539" s="10">
        <v>1</v>
      </c>
      <c r="J539" s="9">
        <v>150000</v>
      </c>
      <c r="K539" s="9">
        <v>39436.089328136164</v>
      </c>
      <c r="L539" s="10">
        <v>12</v>
      </c>
      <c r="M539" s="10">
        <v>0</v>
      </c>
      <c r="N539" s="9">
        <v>0</v>
      </c>
      <c r="O539" s="9">
        <f t="shared" si="4"/>
        <v>3750</v>
      </c>
      <c r="P539" s="9">
        <f t="shared" si="5"/>
        <v>3000</v>
      </c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spans="1:42" ht="13.2" x14ac:dyDescent="0.25">
      <c r="A540" s="3" t="s">
        <v>359</v>
      </c>
      <c r="B540" s="7">
        <v>44256</v>
      </c>
      <c r="C540" s="3" t="s">
        <v>36</v>
      </c>
      <c r="D540" s="8">
        <v>206.111993586604</v>
      </c>
      <c r="E540" s="8">
        <v>60</v>
      </c>
      <c r="F540" s="9">
        <v>330871.68541152828</v>
      </c>
      <c r="G540" s="10">
        <v>1</v>
      </c>
      <c r="H540" s="9">
        <v>480000</v>
      </c>
      <c r="I540" s="10">
        <v>1</v>
      </c>
      <c r="J540" s="9">
        <v>480000</v>
      </c>
      <c r="K540" s="9">
        <v>48143.521207968712</v>
      </c>
      <c r="L540" s="10">
        <v>10</v>
      </c>
      <c r="M540" s="10">
        <v>0</v>
      </c>
      <c r="N540" s="9">
        <v>0</v>
      </c>
      <c r="O540" s="9">
        <f t="shared" si="4"/>
        <v>12000</v>
      </c>
      <c r="P540" s="9">
        <f t="shared" si="5"/>
        <v>9600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spans="1:42" ht="13.2" x14ac:dyDescent="0.25">
      <c r="A541" s="3" t="s">
        <v>360</v>
      </c>
      <c r="B541" s="7">
        <v>44256</v>
      </c>
      <c r="C541" s="3" t="s">
        <v>36</v>
      </c>
      <c r="D541" s="8">
        <v>31.161629195000344</v>
      </c>
      <c r="E541" s="8">
        <v>293.7745689156323</v>
      </c>
      <c r="F541" s="9">
        <v>287522.17610233469</v>
      </c>
      <c r="G541" s="10">
        <v>0</v>
      </c>
      <c r="H541" s="9">
        <v>190000</v>
      </c>
      <c r="I541" s="10">
        <v>1</v>
      </c>
      <c r="J541" s="9">
        <v>190000</v>
      </c>
      <c r="K541" s="9">
        <v>12183.604095738883</v>
      </c>
      <c r="L541" s="10">
        <v>12</v>
      </c>
      <c r="M541" s="10">
        <v>0</v>
      </c>
      <c r="N541" s="9">
        <v>0</v>
      </c>
      <c r="O541" s="9">
        <f t="shared" si="4"/>
        <v>4750</v>
      </c>
      <c r="P541" s="9">
        <f t="shared" si="5"/>
        <v>3800</v>
      </c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spans="1:42" ht="13.2" x14ac:dyDescent="0.25">
      <c r="A542" s="3" t="s">
        <v>361</v>
      </c>
      <c r="B542" s="7">
        <v>44256</v>
      </c>
      <c r="C542" s="3" t="s">
        <v>36</v>
      </c>
      <c r="D542" s="8">
        <v>148.28134684002987</v>
      </c>
      <c r="E542" s="8">
        <v>181.93059700459665</v>
      </c>
      <c r="F542" s="9">
        <v>199451.25522170216</v>
      </c>
      <c r="G542" s="10">
        <v>0</v>
      </c>
      <c r="H542" s="9">
        <v>130000</v>
      </c>
      <c r="I542" s="10">
        <v>1</v>
      </c>
      <c r="J542" s="9">
        <v>130000</v>
      </c>
      <c r="K542" s="9">
        <v>10421.690805862965</v>
      </c>
      <c r="L542" s="10">
        <v>6</v>
      </c>
      <c r="M542" s="10">
        <v>0</v>
      </c>
      <c r="N542" s="9">
        <v>0</v>
      </c>
      <c r="O542" s="9">
        <f t="shared" si="4"/>
        <v>3250</v>
      </c>
      <c r="P542" s="9">
        <f t="shared" si="5"/>
        <v>2600</v>
      </c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spans="1:42" ht="13.2" x14ac:dyDescent="0.25">
      <c r="A543" s="3" t="s">
        <v>362</v>
      </c>
      <c r="B543" s="7">
        <v>44256</v>
      </c>
      <c r="C543" s="3" t="s">
        <v>36</v>
      </c>
      <c r="D543" s="8">
        <v>28.224946551357839</v>
      </c>
      <c r="E543" s="8">
        <v>60</v>
      </c>
      <c r="F543" s="9">
        <v>161871.66115011467</v>
      </c>
      <c r="G543" s="10">
        <v>-1</v>
      </c>
      <c r="H543" s="9">
        <v>220000</v>
      </c>
      <c r="I543" s="10">
        <v>1</v>
      </c>
      <c r="J543" s="9">
        <v>220000</v>
      </c>
      <c r="K543" s="9">
        <v>12972.257804329422</v>
      </c>
      <c r="L543" s="10">
        <v>6</v>
      </c>
      <c r="M543" s="10">
        <v>0</v>
      </c>
      <c r="N543" s="9">
        <v>0</v>
      </c>
      <c r="O543" s="9">
        <f t="shared" si="4"/>
        <v>5500</v>
      </c>
      <c r="P543" s="9">
        <f t="shared" si="5"/>
        <v>4400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spans="1:42" ht="13.2" x14ac:dyDescent="0.25">
      <c r="A544" s="3" t="s">
        <v>363</v>
      </c>
      <c r="B544" s="7">
        <v>44256</v>
      </c>
      <c r="C544" s="3" t="s">
        <v>36</v>
      </c>
      <c r="D544" s="8">
        <v>19.030061210399968</v>
      </c>
      <c r="E544" s="8">
        <v>200.12780019107407</v>
      </c>
      <c r="F544" s="9">
        <v>37723.703907611794</v>
      </c>
      <c r="G544" s="10">
        <v>0</v>
      </c>
      <c r="H544" s="9">
        <v>60000</v>
      </c>
      <c r="I544" s="10">
        <v>0</v>
      </c>
      <c r="J544" s="9">
        <v>0</v>
      </c>
      <c r="K544" s="9">
        <v>0</v>
      </c>
      <c r="L544" s="10">
        <v>0</v>
      </c>
      <c r="M544" s="10">
        <v>0</v>
      </c>
      <c r="N544" s="9">
        <v>0</v>
      </c>
      <c r="O544" s="9">
        <f t="shared" si="4"/>
        <v>0</v>
      </c>
      <c r="P544" s="9">
        <f t="shared" si="5"/>
        <v>0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spans="1:42" ht="13.2" x14ac:dyDescent="0.25">
      <c r="A545" s="3" t="s">
        <v>198</v>
      </c>
      <c r="B545" s="7">
        <v>44256</v>
      </c>
      <c r="C545" s="3" t="s">
        <v>36</v>
      </c>
      <c r="D545" s="8">
        <v>5.7150183013698967</v>
      </c>
      <c r="E545" s="8">
        <v>60</v>
      </c>
      <c r="F545" s="9">
        <v>71275.277098149716</v>
      </c>
      <c r="G545" s="10">
        <v>-1</v>
      </c>
      <c r="H545" s="9">
        <v>110000</v>
      </c>
      <c r="I545" s="10">
        <v>0</v>
      </c>
      <c r="J545" s="9">
        <v>0</v>
      </c>
      <c r="K545" s="9">
        <v>0</v>
      </c>
      <c r="L545" s="10">
        <v>0</v>
      </c>
      <c r="M545" s="10">
        <v>0</v>
      </c>
      <c r="N545" s="9">
        <v>0</v>
      </c>
      <c r="O545" s="9">
        <f t="shared" si="4"/>
        <v>0</v>
      </c>
      <c r="P545" s="9">
        <f t="shared" si="5"/>
        <v>0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spans="1:42" ht="13.2" x14ac:dyDescent="0.25">
      <c r="A546" s="3" t="s">
        <v>145</v>
      </c>
      <c r="B546" s="7">
        <v>44256</v>
      </c>
      <c r="C546" s="3" t="s">
        <v>36</v>
      </c>
      <c r="D546" s="8">
        <v>19.036743748161648</v>
      </c>
      <c r="E546" s="8">
        <v>354.99316642009978</v>
      </c>
      <c r="F546" s="9">
        <v>72923.192098784391</v>
      </c>
      <c r="G546" s="10">
        <v>0</v>
      </c>
      <c r="H546" s="9">
        <v>70000</v>
      </c>
      <c r="I546" s="10">
        <v>1</v>
      </c>
      <c r="J546" s="9">
        <v>70000</v>
      </c>
      <c r="K546" s="9">
        <v>4139.081345130744</v>
      </c>
      <c r="L546" s="10">
        <v>6</v>
      </c>
      <c r="M546" s="10">
        <v>0</v>
      </c>
      <c r="N546" s="9">
        <v>0</v>
      </c>
      <c r="O546" s="9">
        <f t="shared" si="4"/>
        <v>1750</v>
      </c>
      <c r="P546" s="9">
        <f t="shared" si="5"/>
        <v>1400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spans="1:42" ht="13.2" x14ac:dyDescent="0.25">
      <c r="A547" s="3" t="s">
        <v>85</v>
      </c>
      <c r="B547" s="7">
        <v>44287</v>
      </c>
      <c r="C547" s="3" t="s">
        <v>36</v>
      </c>
      <c r="D547" s="8">
        <v>23.107571532944853</v>
      </c>
      <c r="E547" s="8">
        <v>60</v>
      </c>
      <c r="F547" s="9">
        <v>247613.17457217822</v>
      </c>
      <c r="G547" s="10">
        <v>-1</v>
      </c>
      <c r="H547" s="9">
        <v>330000</v>
      </c>
      <c r="I547" s="10">
        <v>0</v>
      </c>
      <c r="J547" s="9">
        <v>0</v>
      </c>
      <c r="K547" s="9">
        <v>0</v>
      </c>
      <c r="L547" s="10">
        <v>0</v>
      </c>
      <c r="M547" s="10">
        <v>0</v>
      </c>
      <c r="N547" s="9">
        <v>0</v>
      </c>
      <c r="O547" s="9">
        <f t="shared" si="4"/>
        <v>0</v>
      </c>
      <c r="P547" s="9">
        <f t="shared" si="5"/>
        <v>0</v>
      </c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spans="1:42" ht="13.2" x14ac:dyDescent="0.25">
      <c r="A548" s="3" t="s">
        <v>364</v>
      </c>
      <c r="B548" s="7">
        <v>44287</v>
      </c>
      <c r="C548" s="3" t="s">
        <v>39</v>
      </c>
      <c r="D548" s="8">
        <v>49.385485204461098</v>
      </c>
      <c r="E548" s="8">
        <v>101.36107328139218</v>
      </c>
      <c r="F548" s="9">
        <v>87039.922993059168</v>
      </c>
      <c r="G548" s="10">
        <v>0</v>
      </c>
      <c r="H548" s="9">
        <v>130000</v>
      </c>
      <c r="I548" s="10">
        <v>0</v>
      </c>
      <c r="J548" s="9">
        <v>0</v>
      </c>
      <c r="K548" s="9">
        <v>0</v>
      </c>
      <c r="L548" s="10">
        <v>0</v>
      </c>
      <c r="M548" s="10">
        <v>0</v>
      </c>
      <c r="N548" s="9">
        <v>0</v>
      </c>
      <c r="O548" s="9">
        <f t="shared" si="4"/>
        <v>0</v>
      </c>
      <c r="P548" s="9">
        <f t="shared" si="5"/>
        <v>0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spans="1:42" ht="13.2" x14ac:dyDescent="0.25">
      <c r="A549" s="3" t="s">
        <v>91</v>
      </c>
      <c r="B549" s="7">
        <v>44287</v>
      </c>
      <c r="C549" s="3" t="s">
        <v>39</v>
      </c>
      <c r="D549" s="8">
        <v>3</v>
      </c>
      <c r="E549" s="8">
        <v>60</v>
      </c>
      <c r="F549" s="9">
        <v>25479.689940774919</v>
      </c>
      <c r="G549" s="10">
        <v>0</v>
      </c>
      <c r="H549" s="9">
        <v>40000</v>
      </c>
      <c r="I549" s="10">
        <v>0</v>
      </c>
      <c r="J549" s="9">
        <v>0</v>
      </c>
      <c r="K549" s="9">
        <v>0</v>
      </c>
      <c r="L549" s="10">
        <v>0</v>
      </c>
      <c r="M549" s="10">
        <v>0</v>
      </c>
      <c r="N549" s="9">
        <v>0</v>
      </c>
      <c r="O549" s="9">
        <f t="shared" si="4"/>
        <v>0</v>
      </c>
      <c r="P549" s="9">
        <f t="shared" si="5"/>
        <v>0</v>
      </c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spans="1:42" ht="13.2" x14ac:dyDescent="0.25">
      <c r="A550" s="3" t="s">
        <v>175</v>
      </c>
      <c r="B550" s="7">
        <v>44287</v>
      </c>
      <c r="C550" s="3" t="s">
        <v>36</v>
      </c>
      <c r="D550" s="8">
        <v>27.342016710592894</v>
      </c>
      <c r="E550" s="8">
        <v>160.59779405264652</v>
      </c>
      <c r="F550" s="9">
        <v>116528.93059716329</v>
      </c>
      <c r="G550" s="10">
        <v>0</v>
      </c>
      <c r="H550" s="9">
        <v>150000</v>
      </c>
      <c r="I550" s="10">
        <v>1</v>
      </c>
      <c r="J550" s="9">
        <v>150000</v>
      </c>
      <c r="K550" s="9">
        <v>14118.455343034047</v>
      </c>
      <c r="L550" s="10">
        <v>6</v>
      </c>
      <c r="M550" s="10">
        <v>0</v>
      </c>
      <c r="N550" s="9">
        <v>0</v>
      </c>
      <c r="O550" s="9">
        <f t="shared" si="4"/>
        <v>3750</v>
      </c>
      <c r="P550" s="9">
        <f t="shared" si="5"/>
        <v>3000</v>
      </c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spans="1:42" ht="13.2" x14ac:dyDescent="0.25">
      <c r="A551" s="3" t="s">
        <v>274</v>
      </c>
      <c r="B551" s="7">
        <v>44287</v>
      </c>
      <c r="C551" s="3" t="s">
        <v>36</v>
      </c>
      <c r="D551" s="8">
        <v>3</v>
      </c>
      <c r="E551" s="8">
        <v>209.62033738803865</v>
      </c>
      <c r="F551" s="9">
        <v>8253.2599308563367</v>
      </c>
      <c r="G551" s="10">
        <v>0</v>
      </c>
      <c r="H551" s="9">
        <v>10000</v>
      </c>
      <c r="I551" s="10">
        <v>0</v>
      </c>
      <c r="J551" s="9">
        <v>0</v>
      </c>
      <c r="K551" s="9">
        <v>0</v>
      </c>
      <c r="L551" s="10">
        <v>0</v>
      </c>
      <c r="M551" s="10">
        <v>0</v>
      </c>
      <c r="N551" s="9">
        <v>0</v>
      </c>
      <c r="O551" s="9">
        <f t="shared" si="4"/>
        <v>0</v>
      </c>
      <c r="P551" s="9">
        <f t="shared" si="5"/>
        <v>0</v>
      </c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spans="1:42" ht="13.2" x14ac:dyDescent="0.25">
      <c r="A552" s="3" t="s">
        <v>365</v>
      </c>
      <c r="B552" s="7">
        <v>44287</v>
      </c>
      <c r="C552" s="3" t="s">
        <v>36</v>
      </c>
      <c r="D552" s="8">
        <v>10.36450018247678</v>
      </c>
      <c r="E552" s="8">
        <v>247.0681144722212</v>
      </c>
      <c r="F552" s="9">
        <v>155483.50560842006</v>
      </c>
      <c r="G552" s="10">
        <v>0</v>
      </c>
      <c r="H552" s="9">
        <v>130000</v>
      </c>
      <c r="I552" s="10">
        <v>1</v>
      </c>
      <c r="J552" s="9">
        <v>130000</v>
      </c>
      <c r="K552" s="9">
        <v>4098.168966587119</v>
      </c>
      <c r="L552" s="10">
        <v>4</v>
      </c>
      <c r="M552" s="10">
        <v>0</v>
      </c>
      <c r="N552" s="9">
        <v>0</v>
      </c>
      <c r="O552" s="9">
        <f t="shared" si="4"/>
        <v>3250</v>
      </c>
      <c r="P552" s="9">
        <f t="shared" si="5"/>
        <v>2600</v>
      </c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spans="1:42" ht="13.2" x14ac:dyDescent="0.25">
      <c r="A553" s="3" t="s">
        <v>366</v>
      </c>
      <c r="B553" s="7">
        <v>44287</v>
      </c>
      <c r="C553" s="3" t="s">
        <v>36</v>
      </c>
      <c r="D553" s="8">
        <v>70.376059992070722</v>
      </c>
      <c r="E553" s="8">
        <v>60</v>
      </c>
      <c r="F553" s="9">
        <v>41090.683606797065</v>
      </c>
      <c r="G553" s="10">
        <v>1</v>
      </c>
      <c r="H553" s="9">
        <v>50000</v>
      </c>
      <c r="I553" s="10">
        <v>1</v>
      </c>
      <c r="J553" s="9">
        <v>50000</v>
      </c>
      <c r="K553" s="9">
        <v>4374.089351169574</v>
      </c>
      <c r="L553" s="10">
        <v>6</v>
      </c>
      <c r="M553" s="10">
        <v>0</v>
      </c>
      <c r="N553" s="9">
        <v>0</v>
      </c>
      <c r="O553" s="9">
        <f t="shared" si="4"/>
        <v>1250</v>
      </c>
      <c r="P553" s="9">
        <f t="shared" si="5"/>
        <v>1000</v>
      </c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spans="1:42" ht="13.2" x14ac:dyDescent="0.25">
      <c r="A554" s="3" t="s">
        <v>367</v>
      </c>
      <c r="B554" s="7">
        <v>44287</v>
      </c>
      <c r="C554" s="3" t="s">
        <v>36</v>
      </c>
      <c r="D554" s="8">
        <v>83.848485893263558</v>
      </c>
      <c r="E554" s="8">
        <v>157.48630067934673</v>
      </c>
      <c r="F554" s="9">
        <v>718116.92519556056</v>
      </c>
      <c r="G554" s="10">
        <v>1</v>
      </c>
      <c r="H554" s="9">
        <v>450000</v>
      </c>
      <c r="I554" s="10">
        <v>1</v>
      </c>
      <c r="J554" s="9">
        <v>450000</v>
      </c>
      <c r="K554" s="9">
        <v>4401.7948497531152</v>
      </c>
      <c r="L554" s="10">
        <v>6</v>
      </c>
      <c r="M554" s="10">
        <v>1</v>
      </c>
      <c r="N554" s="9">
        <v>163511.78367616038</v>
      </c>
      <c r="O554" s="9">
        <f t="shared" si="4"/>
        <v>11250</v>
      </c>
      <c r="P554" s="9">
        <f t="shared" si="5"/>
        <v>9000</v>
      </c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spans="1:42" ht="13.2" x14ac:dyDescent="0.25">
      <c r="A555" s="3" t="s">
        <v>288</v>
      </c>
      <c r="B555" s="7">
        <v>44287</v>
      </c>
      <c r="C555" s="3" t="s">
        <v>36</v>
      </c>
      <c r="D555" s="8">
        <v>98.087848180714033</v>
      </c>
      <c r="E555" s="8">
        <v>219.50997364478215</v>
      </c>
      <c r="F555" s="9">
        <v>420547.08161406161</v>
      </c>
      <c r="G555" s="10">
        <v>-1</v>
      </c>
      <c r="H555" s="9">
        <v>270000</v>
      </c>
      <c r="I555" s="10">
        <v>0</v>
      </c>
      <c r="J555" s="9">
        <v>0</v>
      </c>
      <c r="K555" s="9">
        <v>0</v>
      </c>
      <c r="L555" s="10">
        <v>0</v>
      </c>
      <c r="M555" s="10">
        <v>0</v>
      </c>
      <c r="N555" s="9">
        <v>0</v>
      </c>
      <c r="O555" s="9">
        <f t="shared" si="4"/>
        <v>0</v>
      </c>
      <c r="P555" s="9">
        <f t="shared" si="5"/>
        <v>0</v>
      </c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spans="1:42" ht="13.2" x14ac:dyDescent="0.25">
      <c r="A556" s="3" t="s">
        <v>110</v>
      </c>
      <c r="B556" s="7">
        <v>44287</v>
      </c>
      <c r="C556" s="3" t="s">
        <v>36</v>
      </c>
      <c r="D556" s="8">
        <v>5.8416098123201685</v>
      </c>
      <c r="E556" s="8">
        <v>245.8591989098374</v>
      </c>
      <c r="F556" s="9">
        <v>255603.46173054457</v>
      </c>
      <c r="G556" s="10">
        <v>0</v>
      </c>
      <c r="H556" s="9">
        <v>370000</v>
      </c>
      <c r="I556" s="10">
        <v>0</v>
      </c>
      <c r="J556" s="9">
        <v>0</v>
      </c>
      <c r="K556" s="9">
        <v>0</v>
      </c>
      <c r="L556" s="10">
        <v>0</v>
      </c>
      <c r="M556" s="10">
        <v>0</v>
      </c>
      <c r="N556" s="9">
        <v>0</v>
      </c>
      <c r="O556" s="9">
        <f t="shared" si="4"/>
        <v>0</v>
      </c>
      <c r="P556" s="9">
        <f t="shared" si="5"/>
        <v>0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spans="1:42" ht="13.2" x14ac:dyDescent="0.25">
      <c r="A557" s="3" t="s">
        <v>96</v>
      </c>
      <c r="B557" s="7">
        <v>44287</v>
      </c>
      <c r="C557" s="3" t="s">
        <v>36</v>
      </c>
      <c r="D557" s="8">
        <v>166.84289307932417</v>
      </c>
      <c r="E557" s="8">
        <v>60</v>
      </c>
      <c r="F557" s="9">
        <v>29020.310058424453</v>
      </c>
      <c r="G557" s="10">
        <v>-1</v>
      </c>
      <c r="H557" s="9">
        <v>30000</v>
      </c>
      <c r="I557" s="10">
        <v>0</v>
      </c>
      <c r="J557" s="9">
        <v>0</v>
      </c>
      <c r="K557" s="9">
        <v>0</v>
      </c>
      <c r="L557" s="10">
        <v>0</v>
      </c>
      <c r="M557" s="10">
        <v>0</v>
      </c>
      <c r="N557" s="9">
        <v>0</v>
      </c>
      <c r="O557" s="9">
        <f t="shared" si="4"/>
        <v>0</v>
      </c>
      <c r="P557" s="9">
        <f t="shared" si="5"/>
        <v>0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spans="1:42" ht="13.2" x14ac:dyDescent="0.25">
      <c r="A558" s="3" t="s">
        <v>203</v>
      </c>
      <c r="B558" s="7">
        <v>44287</v>
      </c>
      <c r="C558" s="3" t="s">
        <v>36</v>
      </c>
      <c r="D558" s="8">
        <v>48.88180107004392</v>
      </c>
      <c r="E558" s="8">
        <v>320.68783084580178</v>
      </c>
      <c r="F558" s="9">
        <v>1482882.7564693405</v>
      </c>
      <c r="G558" s="10">
        <v>0</v>
      </c>
      <c r="H558" s="9">
        <v>1200000</v>
      </c>
      <c r="I558" s="10">
        <v>1</v>
      </c>
      <c r="J558" s="9">
        <v>1200000</v>
      </c>
      <c r="K558" s="9">
        <v>202221.23228945109</v>
      </c>
      <c r="L558" s="10">
        <v>13</v>
      </c>
      <c r="M558" s="10">
        <v>0</v>
      </c>
      <c r="N558" s="9">
        <v>0</v>
      </c>
      <c r="O558" s="9">
        <f t="shared" si="4"/>
        <v>30000</v>
      </c>
      <c r="P558" s="9">
        <f t="shared" si="5"/>
        <v>24000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spans="1:42" ht="13.2" x14ac:dyDescent="0.25">
      <c r="A559" s="3" t="s">
        <v>368</v>
      </c>
      <c r="B559" s="7">
        <v>44287</v>
      </c>
      <c r="C559" s="3" t="s">
        <v>39</v>
      </c>
      <c r="D559" s="8">
        <v>85.087737602360789</v>
      </c>
      <c r="E559" s="8">
        <v>60</v>
      </c>
      <c r="F559" s="9">
        <v>43876.5094928584</v>
      </c>
      <c r="G559" s="10">
        <v>-1</v>
      </c>
      <c r="H559" s="9">
        <v>60000</v>
      </c>
      <c r="I559" s="10">
        <v>0</v>
      </c>
      <c r="J559" s="9">
        <v>0</v>
      </c>
      <c r="K559" s="9">
        <v>0</v>
      </c>
      <c r="L559" s="10">
        <v>0</v>
      </c>
      <c r="M559" s="10">
        <v>0</v>
      </c>
      <c r="N559" s="9">
        <v>0</v>
      </c>
      <c r="O559" s="9">
        <f t="shared" si="4"/>
        <v>0</v>
      </c>
      <c r="P559" s="9">
        <f t="shared" si="5"/>
        <v>0</v>
      </c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spans="1:42" ht="13.2" x14ac:dyDescent="0.25">
      <c r="A560" s="3" t="s">
        <v>69</v>
      </c>
      <c r="B560" s="7">
        <v>44287</v>
      </c>
      <c r="C560" s="3" t="s">
        <v>36</v>
      </c>
      <c r="D560" s="8">
        <v>32.760012227696194</v>
      </c>
      <c r="E560" s="8">
        <v>171.43909676206761</v>
      </c>
      <c r="F560" s="9">
        <v>941131.2349427985</v>
      </c>
      <c r="G560" s="10">
        <v>-1</v>
      </c>
      <c r="H560" s="9">
        <v>1440000</v>
      </c>
      <c r="I560" s="10">
        <v>0</v>
      </c>
      <c r="J560" s="9">
        <v>0</v>
      </c>
      <c r="K560" s="9">
        <v>0</v>
      </c>
      <c r="L560" s="10">
        <v>0</v>
      </c>
      <c r="M560" s="10">
        <v>0</v>
      </c>
      <c r="N560" s="9">
        <v>0</v>
      </c>
      <c r="O560" s="9">
        <f t="shared" si="4"/>
        <v>0</v>
      </c>
      <c r="P560" s="9">
        <f t="shared" si="5"/>
        <v>0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spans="1:42" ht="13.2" x14ac:dyDescent="0.25">
      <c r="A561" s="3" t="s">
        <v>148</v>
      </c>
      <c r="B561" s="7">
        <v>44287</v>
      </c>
      <c r="C561" s="3" t="s">
        <v>36</v>
      </c>
      <c r="D561" s="8">
        <v>37.526203449718977</v>
      </c>
      <c r="E561" s="8">
        <v>359.4958874060116</v>
      </c>
      <c r="F561" s="9">
        <v>352259.20023671177</v>
      </c>
      <c r="G561" s="10">
        <v>1</v>
      </c>
      <c r="H561" s="9">
        <v>280000</v>
      </c>
      <c r="I561" s="10">
        <v>0</v>
      </c>
      <c r="J561" s="9">
        <v>0</v>
      </c>
      <c r="K561" s="9">
        <v>0</v>
      </c>
      <c r="L561" s="10">
        <v>0</v>
      </c>
      <c r="M561" s="10">
        <v>0</v>
      </c>
      <c r="N561" s="9">
        <v>0</v>
      </c>
      <c r="O561" s="9">
        <f t="shared" si="4"/>
        <v>0</v>
      </c>
      <c r="P561" s="9">
        <f t="shared" si="5"/>
        <v>0</v>
      </c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spans="1:42" ht="13.2" x14ac:dyDescent="0.25">
      <c r="A562" s="3" t="s">
        <v>369</v>
      </c>
      <c r="B562" s="7">
        <v>44287</v>
      </c>
      <c r="C562" s="3" t="s">
        <v>36</v>
      </c>
      <c r="D562" s="8">
        <v>16.41485592573213</v>
      </c>
      <c r="E562" s="8">
        <v>60</v>
      </c>
      <c r="F562" s="9">
        <v>48498.170381000491</v>
      </c>
      <c r="G562" s="10">
        <v>1</v>
      </c>
      <c r="H562" s="9">
        <v>60000</v>
      </c>
      <c r="I562" s="10">
        <v>1</v>
      </c>
      <c r="J562" s="9">
        <v>60000</v>
      </c>
      <c r="K562" s="9">
        <v>5943.3397173416679</v>
      </c>
      <c r="L562" s="10">
        <v>6</v>
      </c>
      <c r="M562" s="10">
        <v>0</v>
      </c>
      <c r="N562" s="9">
        <v>0</v>
      </c>
      <c r="O562" s="9">
        <f t="shared" si="4"/>
        <v>1500</v>
      </c>
      <c r="P562" s="9">
        <f t="shared" si="5"/>
        <v>1200</v>
      </c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spans="1:42" ht="13.2" x14ac:dyDescent="0.25">
      <c r="A563" s="3" t="s">
        <v>370</v>
      </c>
      <c r="B563" s="7">
        <v>44287</v>
      </c>
      <c r="C563" s="3" t="s">
        <v>36</v>
      </c>
      <c r="D563" s="8">
        <v>3</v>
      </c>
      <c r="E563" s="8">
        <v>80.306646140788928</v>
      </c>
      <c r="F563" s="9">
        <v>77018.164988376651</v>
      </c>
      <c r="G563" s="10">
        <v>1</v>
      </c>
      <c r="H563" s="9">
        <v>110000</v>
      </c>
      <c r="I563" s="10">
        <v>1</v>
      </c>
      <c r="J563" s="9">
        <v>110000</v>
      </c>
      <c r="K563" s="9">
        <v>8548.9893090338937</v>
      </c>
      <c r="L563" s="10">
        <v>6</v>
      </c>
      <c r="M563" s="10">
        <v>0</v>
      </c>
      <c r="N563" s="9">
        <v>0</v>
      </c>
      <c r="O563" s="9">
        <f t="shared" si="4"/>
        <v>2750</v>
      </c>
      <c r="P563" s="9">
        <f t="shared" si="5"/>
        <v>2200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spans="1:42" ht="13.2" x14ac:dyDescent="0.25">
      <c r="A564" s="3" t="s">
        <v>246</v>
      </c>
      <c r="B564" s="7">
        <v>44287</v>
      </c>
      <c r="C564" s="3" t="s">
        <v>36</v>
      </c>
      <c r="D564" s="8">
        <v>19.576654646383666</v>
      </c>
      <c r="E564" s="8">
        <v>305.57075645330769</v>
      </c>
      <c r="F564" s="9">
        <v>43704.149332925648</v>
      </c>
      <c r="G564" s="10">
        <v>-1</v>
      </c>
      <c r="H564" s="9">
        <v>30000</v>
      </c>
      <c r="I564" s="10">
        <v>0</v>
      </c>
      <c r="J564" s="9">
        <v>0</v>
      </c>
      <c r="K564" s="9">
        <v>0</v>
      </c>
      <c r="L564" s="10">
        <v>0</v>
      </c>
      <c r="M564" s="10">
        <v>0</v>
      </c>
      <c r="N564" s="9">
        <v>0</v>
      </c>
      <c r="O564" s="9">
        <f t="shared" si="4"/>
        <v>0</v>
      </c>
      <c r="P564" s="9">
        <f t="shared" si="5"/>
        <v>0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spans="1:42" ht="13.2" x14ac:dyDescent="0.25">
      <c r="A565" s="3" t="s">
        <v>371</v>
      </c>
      <c r="B565" s="7">
        <v>44287</v>
      </c>
      <c r="C565" s="3" t="s">
        <v>39</v>
      </c>
      <c r="D565" s="8">
        <v>38.573079150617566</v>
      </c>
      <c r="E565" s="8">
        <v>218.48375172428723</v>
      </c>
      <c r="F565" s="9">
        <v>146972.83377600592</v>
      </c>
      <c r="G565" s="10">
        <v>-1</v>
      </c>
      <c r="H565" s="9">
        <v>188000</v>
      </c>
      <c r="I565" s="10">
        <v>0</v>
      </c>
      <c r="J565" s="9">
        <v>0</v>
      </c>
      <c r="K565" s="9">
        <v>0</v>
      </c>
      <c r="L565" s="10">
        <v>0</v>
      </c>
      <c r="M565" s="10">
        <v>0</v>
      </c>
      <c r="N565" s="9">
        <v>0</v>
      </c>
      <c r="O565" s="9">
        <f t="shared" si="4"/>
        <v>0</v>
      </c>
      <c r="P565" s="9">
        <f t="shared" si="5"/>
        <v>0</v>
      </c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spans="1:42" ht="13.2" x14ac:dyDescent="0.25">
      <c r="A566" s="3" t="s">
        <v>70</v>
      </c>
      <c r="B566" s="7">
        <v>44287</v>
      </c>
      <c r="C566" s="3" t="s">
        <v>39</v>
      </c>
      <c r="D566" s="8">
        <v>16.057854210974355</v>
      </c>
      <c r="E566" s="8">
        <v>60</v>
      </c>
      <c r="F566" s="9">
        <v>10594.046291930446</v>
      </c>
      <c r="G566" s="10">
        <v>-1</v>
      </c>
      <c r="H566" s="9">
        <v>20000</v>
      </c>
      <c r="I566" s="10">
        <v>1</v>
      </c>
      <c r="J566" s="9">
        <v>20000</v>
      </c>
      <c r="K566" s="9">
        <v>568.43917331933937</v>
      </c>
      <c r="L566" s="10">
        <v>6</v>
      </c>
      <c r="M566" s="10">
        <v>0</v>
      </c>
      <c r="N566" s="9">
        <v>0</v>
      </c>
      <c r="O566" s="9">
        <f t="shared" si="4"/>
        <v>500</v>
      </c>
      <c r="P566" s="9">
        <f t="shared" si="5"/>
        <v>400</v>
      </c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spans="1:42" ht="13.2" x14ac:dyDescent="0.25">
      <c r="A567" s="3" t="s">
        <v>83</v>
      </c>
      <c r="B567" s="7">
        <v>44287</v>
      </c>
      <c r="C567" s="3" t="s">
        <v>36</v>
      </c>
      <c r="D567" s="8">
        <v>18.391647264982378</v>
      </c>
      <c r="E567" s="8">
        <v>306.51974198894351</v>
      </c>
      <c r="F567" s="9">
        <v>131088.40587820738</v>
      </c>
      <c r="G567" s="10">
        <v>1</v>
      </c>
      <c r="H567" s="9">
        <v>170000</v>
      </c>
      <c r="I567" s="10">
        <v>1</v>
      </c>
      <c r="J567" s="9">
        <v>170000</v>
      </c>
      <c r="K567" s="9">
        <v>24611.703875776908</v>
      </c>
      <c r="L567" s="10">
        <v>6</v>
      </c>
      <c r="M567" s="10">
        <v>1</v>
      </c>
      <c r="N567" s="9">
        <v>61236.887936140491</v>
      </c>
      <c r="O567" s="9">
        <f t="shared" si="4"/>
        <v>4250</v>
      </c>
      <c r="P567" s="9">
        <f t="shared" si="5"/>
        <v>3400</v>
      </c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spans="1:42" ht="13.2" x14ac:dyDescent="0.25">
      <c r="A568" s="3" t="s">
        <v>308</v>
      </c>
      <c r="B568" s="7">
        <v>44287</v>
      </c>
      <c r="C568" s="3" t="s">
        <v>36</v>
      </c>
      <c r="D568" s="8">
        <v>157.30291522978334</v>
      </c>
      <c r="E568" s="8">
        <v>346.40135577928339</v>
      </c>
      <c r="F568" s="9">
        <v>2148414.8831954263</v>
      </c>
      <c r="G568" s="10">
        <v>0</v>
      </c>
      <c r="H568" s="9">
        <v>1390000</v>
      </c>
      <c r="I568" s="10">
        <v>1</v>
      </c>
      <c r="J568" s="9">
        <v>1390000</v>
      </c>
      <c r="K568" s="9">
        <v>121404.41518887461</v>
      </c>
      <c r="L568" s="10">
        <v>6</v>
      </c>
      <c r="M568" s="10">
        <v>0</v>
      </c>
      <c r="N568" s="9">
        <v>0</v>
      </c>
      <c r="O568" s="9">
        <f t="shared" si="4"/>
        <v>34750</v>
      </c>
      <c r="P568" s="9">
        <f t="shared" si="5"/>
        <v>27800</v>
      </c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spans="1:42" ht="13.2" x14ac:dyDescent="0.25">
      <c r="A569" s="3" t="s">
        <v>183</v>
      </c>
      <c r="B569" s="7">
        <v>44287</v>
      </c>
      <c r="C569" s="3" t="s">
        <v>36</v>
      </c>
      <c r="D569" s="8">
        <v>25.867564520143905</v>
      </c>
      <c r="E569" s="8">
        <v>60</v>
      </c>
      <c r="F569" s="9">
        <v>20230.644247752654</v>
      </c>
      <c r="G569" s="10">
        <v>-1</v>
      </c>
      <c r="H569" s="9">
        <v>30000</v>
      </c>
      <c r="I569" s="10">
        <v>0</v>
      </c>
      <c r="J569" s="9">
        <v>0</v>
      </c>
      <c r="K569" s="9">
        <v>0</v>
      </c>
      <c r="L569" s="10">
        <v>0</v>
      </c>
      <c r="M569" s="10">
        <v>0</v>
      </c>
      <c r="N569" s="9">
        <v>0</v>
      </c>
      <c r="O569" s="9">
        <f t="shared" si="4"/>
        <v>0</v>
      </c>
      <c r="P569" s="9">
        <f t="shared" si="5"/>
        <v>0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spans="1:42" ht="13.2" x14ac:dyDescent="0.25">
      <c r="A570" s="3" t="s">
        <v>372</v>
      </c>
      <c r="B570" s="7">
        <v>44287</v>
      </c>
      <c r="C570" s="3" t="s">
        <v>36</v>
      </c>
      <c r="D570" s="8">
        <v>163.48959122140826</v>
      </c>
      <c r="E570" s="8">
        <v>159.92352928631362</v>
      </c>
      <c r="F570" s="9">
        <v>36606.350710091247</v>
      </c>
      <c r="G570" s="10">
        <v>0</v>
      </c>
      <c r="H570" s="9">
        <v>50000</v>
      </c>
      <c r="I570" s="10">
        <v>1</v>
      </c>
      <c r="J570" s="9">
        <v>50000</v>
      </c>
      <c r="K570" s="9">
        <v>2474.8641387898701</v>
      </c>
      <c r="L570" s="10">
        <v>6</v>
      </c>
      <c r="M570" s="10">
        <v>1</v>
      </c>
      <c r="N570" s="9">
        <v>23118.914482755466</v>
      </c>
      <c r="O570" s="9">
        <f t="shared" si="4"/>
        <v>1250</v>
      </c>
      <c r="P570" s="9">
        <f t="shared" si="5"/>
        <v>1000</v>
      </c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spans="1:42" ht="13.2" x14ac:dyDescent="0.25">
      <c r="A571" s="3" t="s">
        <v>355</v>
      </c>
      <c r="B571" s="7">
        <v>44287</v>
      </c>
      <c r="C571" s="3" t="s">
        <v>36</v>
      </c>
      <c r="D571" s="8">
        <v>33.21317780474979</v>
      </c>
      <c r="E571" s="8">
        <v>107.71152379234528</v>
      </c>
      <c r="F571" s="9">
        <v>614.32574452498341</v>
      </c>
      <c r="G571" s="10">
        <v>0</v>
      </c>
      <c r="H571" s="9">
        <v>833.33333333333337</v>
      </c>
      <c r="I571" s="10">
        <v>1</v>
      </c>
      <c r="J571" s="9">
        <v>833.33333333333337</v>
      </c>
      <c r="K571" s="9">
        <v>70.811536547584723</v>
      </c>
      <c r="L571" s="10">
        <v>6</v>
      </c>
      <c r="M571" s="10">
        <v>0</v>
      </c>
      <c r="N571" s="9">
        <v>0</v>
      </c>
      <c r="O571" s="9">
        <f t="shared" si="4"/>
        <v>20.833333333333336</v>
      </c>
      <c r="P571" s="9">
        <f t="shared" si="5"/>
        <v>16.666666666666668</v>
      </c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spans="1:42" ht="13.2" x14ac:dyDescent="0.25">
      <c r="A572" s="3" t="s">
        <v>373</v>
      </c>
      <c r="B572" s="7">
        <v>44287</v>
      </c>
      <c r="C572" s="3" t="s">
        <v>36</v>
      </c>
      <c r="D572" s="8">
        <v>34.830244242512705</v>
      </c>
      <c r="E572" s="8">
        <v>60</v>
      </c>
      <c r="F572" s="9">
        <v>235856.39103914864</v>
      </c>
      <c r="G572" s="10">
        <v>0</v>
      </c>
      <c r="H572" s="9">
        <v>360000</v>
      </c>
      <c r="I572" s="10">
        <v>1</v>
      </c>
      <c r="J572" s="9">
        <v>360000</v>
      </c>
      <c r="K572" s="9">
        <v>37513.574127235515</v>
      </c>
      <c r="L572" s="10">
        <v>6</v>
      </c>
      <c r="M572" s="10">
        <v>0</v>
      </c>
      <c r="N572" s="9">
        <v>0</v>
      </c>
      <c r="O572" s="9">
        <f t="shared" si="4"/>
        <v>9000</v>
      </c>
      <c r="P572" s="9">
        <f t="shared" si="5"/>
        <v>7200</v>
      </c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spans="1:42" ht="13.2" x14ac:dyDescent="0.25">
      <c r="A573" s="3" t="s">
        <v>285</v>
      </c>
      <c r="B573" s="7">
        <v>44287</v>
      </c>
      <c r="C573" s="3" t="s">
        <v>36</v>
      </c>
      <c r="D573" s="8">
        <v>12.966417872409</v>
      </c>
      <c r="E573" s="8">
        <v>208.11288566291137</v>
      </c>
      <c r="F573" s="9">
        <v>48328.886169151658</v>
      </c>
      <c r="G573" s="10">
        <v>1</v>
      </c>
      <c r="H573" s="9">
        <v>50000</v>
      </c>
      <c r="I573" s="10">
        <v>1</v>
      </c>
      <c r="J573" s="9">
        <v>50000</v>
      </c>
      <c r="K573" s="9">
        <v>3034.248785019307</v>
      </c>
      <c r="L573" s="10">
        <v>6</v>
      </c>
      <c r="M573" s="10">
        <v>0</v>
      </c>
      <c r="N573" s="9">
        <v>0</v>
      </c>
      <c r="O573" s="9">
        <f t="shared" si="4"/>
        <v>1250</v>
      </c>
      <c r="P573" s="9">
        <f t="shared" si="5"/>
        <v>1000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spans="1:42" ht="13.2" x14ac:dyDescent="0.25">
      <c r="A574" s="3" t="s">
        <v>302</v>
      </c>
      <c r="B574" s="7">
        <v>44287</v>
      </c>
      <c r="C574" s="3" t="s">
        <v>36</v>
      </c>
      <c r="D574" s="8">
        <v>33.967722627100081</v>
      </c>
      <c r="E574" s="8">
        <v>60</v>
      </c>
      <c r="F574" s="9">
        <v>21773.203022306781</v>
      </c>
      <c r="G574" s="10">
        <v>0</v>
      </c>
      <c r="H574" s="9">
        <v>30000</v>
      </c>
      <c r="I574" s="10">
        <v>1</v>
      </c>
      <c r="J574" s="9">
        <v>30000</v>
      </c>
      <c r="K574" s="9">
        <v>1021.2901080512903</v>
      </c>
      <c r="L574" s="10">
        <v>6</v>
      </c>
      <c r="M574" s="10">
        <v>0</v>
      </c>
      <c r="N574" s="9">
        <v>0</v>
      </c>
      <c r="O574" s="9">
        <f t="shared" si="4"/>
        <v>750</v>
      </c>
      <c r="P574" s="9">
        <f t="shared" si="5"/>
        <v>600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spans="1:42" ht="13.2" x14ac:dyDescent="0.25">
      <c r="A575" s="3" t="s">
        <v>263</v>
      </c>
      <c r="B575" s="7">
        <v>44287</v>
      </c>
      <c r="C575" s="3" t="s">
        <v>39</v>
      </c>
      <c r="D575" s="8">
        <v>235.67153174398109</v>
      </c>
      <c r="E575" s="8">
        <v>357.34209995464948</v>
      </c>
      <c r="F575" s="9">
        <v>694357.84336815006</v>
      </c>
      <c r="G575" s="10">
        <v>0</v>
      </c>
      <c r="H575" s="9">
        <v>480000</v>
      </c>
      <c r="I575" s="10">
        <v>1</v>
      </c>
      <c r="J575" s="9">
        <v>480000</v>
      </c>
      <c r="K575" s="9">
        <v>92655.880256793767</v>
      </c>
      <c r="L575" s="10">
        <v>12</v>
      </c>
      <c r="M575" s="10">
        <v>0</v>
      </c>
      <c r="N575" s="9">
        <v>0</v>
      </c>
      <c r="O575" s="9">
        <f t="shared" si="4"/>
        <v>12000</v>
      </c>
      <c r="P575" s="9">
        <f t="shared" si="5"/>
        <v>9600</v>
      </c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spans="1:42" ht="13.2" x14ac:dyDescent="0.25">
      <c r="A576" s="3" t="s">
        <v>180</v>
      </c>
      <c r="B576" s="7">
        <v>44287</v>
      </c>
      <c r="C576" s="3" t="s">
        <v>36</v>
      </c>
      <c r="D576" s="8">
        <v>28.983564930092939</v>
      </c>
      <c r="E576" s="8">
        <v>326.34828945072854</v>
      </c>
      <c r="F576" s="9">
        <v>1629907.6432094306</v>
      </c>
      <c r="G576" s="10">
        <v>-1</v>
      </c>
      <c r="H576" s="9">
        <v>1100000</v>
      </c>
      <c r="I576" s="10">
        <v>1</v>
      </c>
      <c r="J576" s="9">
        <v>1100000</v>
      </c>
      <c r="K576" s="9">
        <v>136076.80316042254</v>
      </c>
      <c r="L576" s="10">
        <v>7</v>
      </c>
      <c r="M576" s="10">
        <v>0</v>
      </c>
      <c r="N576" s="9">
        <v>0</v>
      </c>
      <c r="O576" s="9">
        <f t="shared" si="4"/>
        <v>27500</v>
      </c>
      <c r="P576" s="9">
        <f t="shared" si="5"/>
        <v>22000</v>
      </c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spans="1:42" ht="13.2" x14ac:dyDescent="0.25">
      <c r="A577" s="3" t="s">
        <v>309</v>
      </c>
      <c r="B577" s="7">
        <v>44287</v>
      </c>
      <c r="C577" s="3" t="s">
        <v>39</v>
      </c>
      <c r="D577" s="8">
        <v>3</v>
      </c>
      <c r="E577" s="8">
        <v>60</v>
      </c>
      <c r="F577" s="9">
        <v>11764.419200028464</v>
      </c>
      <c r="G577" s="10">
        <v>1</v>
      </c>
      <c r="H577" s="9">
        <v>20000</v>
      </c>
      <c r="I577" s="10">
        <v>0</v>
      </c>
      <c r="J577" s="9">
        <v>0</v>
      </c>
      <c r="K577" s="9">
        <v>0</v>
      </c>
      <c r="L577" s="10">
        <v>0</v>
      </c>
      <c r="M577" s="10">
        <v>0</v>
      </c>
      <c r="N577" s="9">
        <v>0</v>
      </c>
      <c r="O577" s="9">
        <f t="shared" si="4"/>
        <v>0</v>
      </c>
      <c r="P577" s="9">
        <f t="shared" si="5"/>
        <v>0</v>
      </c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spans="1:42" ht="13.2" x14ac:dyDescent="0.25">
      <c r="A578" s="3" t="s">
        <v>340</v>
      </c>
      <c r="B578" s="7">
        <v>44287</v>
      </c>
      <c r="C578" s="3" t="s">
        <v>36</v>
      </c>
      <c r="D578" s="8">
        <v>48.858379608696197</v>
      </c>
      <c r="E578" s="8">
        <v>164.63292677238417</v>
      </c>
      <c r="F578" s="9">
        <v>15616.902317462871</v>
      </c>
      <c r="G578" s="10">
        <v>1</v>
      </c>
      <c r="H578" s="9">
        <v>10000</v>
      </c>
      <c r="I578" s="10">
        <v>1</v>
      </c>
      <c r="J578" s="9">
        <v>10000</v>
      </c>
      <c r="K578" s="9">
        <v>790.88208897246557</v>
      </c>
      <c r="L578" s="10">
        <v>6</v>
      </c>
      <c r="M578" s="10">
        <v>0</v>
      </c>
      <c r="N578" s="9">
        <v>0</v>
      </c>
      <c r="O578" s="9">
        <f t="shared" si="4"/>
        <v>250</v>
      </c>
      <c r="P578" s="9">
        <f t="shared" si="5"/>
        <v>200</v>
      </c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spans="1:42" ht="13.2" x14ac:dyDescent="0.25">
      <c r="A579" s="3" t="s">
        <v>374</v>
      </c>
      <c r="B579" s="7">
        <v>44287</v>
      </c>
      <c r="C579" s="3" t="s">
        <v>36</v>
      </c>
      <c r="D579" s="8">
        <v>29.379850684530503</v>
      </c>
      <c r="E579" s="8">
        <v>312.3106068300682</v>
      </c>
      <c r="F579" s="9">
        <v>1000069.6941878152</v>
      </c>
      <c r="G579" s="10">
        <v>-1</v>
      </c>
      <c r="H579" s="9">
        <v>660000</v>
      </c>
      <c r="I579" s="10">
        <v>1</v>
      </c>
      <c r="J579" s="9">
        <v>660000</v>
      </c>
      <c r="K579" s="9">
        <v>34278.571307450402</v>
      </c>
      <c r="L579" s="10">
        <v>8</v>
      </c>
      <c r="M579" s="10">
        <v>0</v>
      </c>
      <c r="N579" s="9">
        <v>0</v>
      </c>
      <c r="O579" s="9">
        <f t="shared" si="4"/>
        <v>16500</v>
      </c>
      <c r="P579" s="9">
        <f t="shared" si="5"/>
        <v>13200</v>
      </c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spans="1:42" ht="13.2" x14ac:dyDescent="0.25">
      <c r="A580" s="3" t="s">
        <v>120</v>
      </c>
      <c r="B580" s="7">
        <v>44287</v>
      </c>
      <c r="C580" s="3" t="s">
        <v>36</v>
      </c>
      <c r="D580" s="8">
        <v>3</v>
      </c>
      <c r="E580" s="8">
        <v>146.05620279488249</v>
      </c>
      <c r="F580" s="9">
        <v>42521.995501913261</v>
      </c>
      <c r="G580" s="10">
        <v>0</v>
      </c>
      <c r="H580" s="9">
        <v>70000</v>
      </c>
      <c r="I580" s="10">
        <v>1</v>
      </c>
      <c r="J580" s="9">
        <v>70000</v>
      </c>
      <c r="K580" s="9">
        <v>4222.2058657191847</v>
      </c>
      <c r="L580" s="10">
        <v>4</v>
      </c>
      <c r="M580" s="10">
        <v>0</v>
      </c>
      <c r="N580" s="9">
        <v>0</v>
      </c>
      <c r="O580" s="9">
        <f t="shared" si="4"/>
        <v>1750</v>
      </c>
      <c r="P580" s="9">
        <f t="shared" si="5"/>
        <v>1400</v>
      </c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spans="1:42" ht="13.2" x14ac:dyDescent="0.25">
      <c r="A581" s="3" t="s">
        <v>375</v>
      </c>
      <c r="B581" s="7">
        <v>44287</v>
      </c>
      <c r="C581" s="3" t="s">
        <v>36</v>
      </c>
      <c r="D581" s="8">
        <v>12.988964241547688</v>
      </c>
      <c r="E581" s="8">
        <v>60</v>
      </c>
      <c r="F581" s="9">
        <v>17446.43350598717</v>
      </c>
      <c r="G581" s="10">
        <v>-1</v>
      </c>
      <c r="H581" s="9">
        <v>30000</v>
      </c>
      <c r="I581" s="10">
        <v>0</v>
      </c>
      <c r="J581" s="9">
        <v>0</v>
      </c>
      <c r="K581" s="9">
        <v>0</v>
      </c>
      <c r="L581" s="10">
        <v>0</v>
      </c>
      <c r="M581" s="10">
        <v>0</v>
      </c>
      <c r="N581" s="9">
        <v>0</v>
      </c>
      <c r="O581" s="9">
        <f t="shared" si="4"/>
        <v>0</v>
      </c>
      <c r="P581" s="9">
        <f t="shared" si="5"/>
        <v>0</v>
      </c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spans="1:42" ht="13.2" x14ac:dyDescent="0.25">
      <c r="A582" s="3" t="s">
        <v>376</v>
      </c>
      <c r="B582" s="7">
        <v>44287</v>
      </c>
      <c r="C582" s="3" t="s">
        <v>36</v>
      </c>
      <c r="D582" s="8">
        <v>121.15444455285558</v>
      </c>
      <c r="E582" s="8">
        <v>60</v>
      </c>
      <c r="F582" s="9">
        <v>32081.611176353064</v>
      </c>
      <c r="G582" s="10">
        <v>1</v>
      </c>
      <c r="H582" s="9">
        <v>50000</v>
      </c>
      <c r="I582" s="10">
        <v>1</v>
      </c>
      <c r="J582" s="9">
        <v>50000</v>
      </c>
      <c r="K582" s="9">
        <v>2749.9532939517358</v>
      </c>
      <c r="L582" s="10">
        <v>3</v>
      </c>
      <c r="M582" s="10">
        <v>0</v>
      </c>
      <c r="N582" s="9">
        <v>0</v>
      </c>
      <c r="O582" s="9">
        <f t="shared" si="4"/>
        <v>1250</v>
      </c>
      <c r="P582" s="9">
        <f t="shared" si="5"/>
        <v>1000</v>
      </c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spans="1:42" ht="13.2" x14ac:dyDescent="0.25">
      <c r="A583" s="3" t="s">
        <v>332</v>
      </c>
      <c r="B583" s="7">
        <v>44287</v>
      </c>
      <c r="C583" s="3" t="s">
        <v>39</v>
      </c>
      <c r="D583" s="8">
        <v>24.646295531919481</v>
      </c>
      <c r="E583" s="8">
        <v>60</v>
      </c>
      <c r="F583" s="9">
        <v>124847.21237983178</v>
      </c>
      <c r="G583" s="10">
        <v>0</v>
      </c>
      <c r="H583" s="9">
        <v>180000</v>
      </c>
      <c r="I583" s="10">
        <v>1</v>
      </c>
      <c r="J583" s="9">
        <v>180000</v>
      </c>
      <c r="K583" s="9">
        <v>11764.545772745738</v>
      </c>
      <c r="L583" s="10">
        <v>5</v>
      </c>
      <c r="M583" s="10">
        <v>0</v>
      </c>
      <c r="N583" s="9">
        <v>0</v>
      </c>
      <c r="O583" s="9">
        <f t="shared" si="4"/>
        <v>4500</v>
      </c>
      <c r="P583" s="9">
        <f t="shared" si="5"/>
        <v>3600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spans="1:42" ht="13.2" x14ac:dyDescent="0.25">
      <c r="A584" s="3" t="s">
        <v>377</v>
      </c>
      <c r="B584" s="7">
        <v>44287</v>
      </c>
      <c r="C584" s="3" t="s">
        <v>39</v>
      </c>
      <c r="D584" s="8">
        <v>3.4372751536875015</v>
      </c>
      <c r="E584" s="8">
        <v>195.04334408062368</v>
      </c>
      <c r="F584" s="9">
        <v>175025.66102785937</v>
      </c>
      <c r="G584" s="10">
        <v>1</v>
      </c>
      <c r="H584" s="9">
        <v>257000</v>
      </c>
      <c r="I584" s="10">
        <v>0</v>
      </c>
      <c r="J584" s="9">
        <v>0</v>
      </c>
      <c r="K584" s="9">
        <v>0</v>
      </c>
      <c r="L584" s="10">
        <v>0</v>
      </c>
      <c r="M584" s="10">
        <v>0</v>
      </c>
      <c r="N584" s="9">
        <v>0</v>
      </c>
      <c r="O584" s="9">
        <f t="shared" si="4"/>
        <v>0</v>
      </c>
      <c r="P584" s="9">
        <f t="shared" si="5"/>
        <v>0</v>
      </c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spans="1:42" ht="13.2" x14ac:dyDescent="0.25">
      <c r="A585" s="3" t="s">
        <v>378</v>
      </c>
      <c r="B585" s="7">
        <v>44287</v>
      </c>
      <c r="C585" s="3" t="s">
        <v>39</v>
      </c>
      <c r="D585" s="8">
        <v>3</v>
      </c>
      <c r="E585" s="8">
        <v>70.730913335954469</v>
      </c>
      <c r="F585" s="9">
        <v>61289.334478100864</v>
      </c>
      <c r="G585" s="10">
        <v>1</v>
      </c>
      <c r="H585" s="9">
        <v>90000</v>
      </c>
      <c r="I585" s="10">
        <v>1</v>
      </c>
      <c r="J585" s="9">
        <v>90000</v>
      </c>
      <c r="K585" s="9">
        <v>1955.6807260149558</v>
      </c>
      <c r="L585" s="10">
        <v>3</v>
      </c>
      <c r="M585" s="10">
        <v>0</v>
      </c>
      <c r="N585" s="9">
        <v>0</v>
      </c>
      <c r="O585" s="9">
        <f t="shared" si="4"/>
        <v>2250</v>
      </c>
      <c r="P585" s="9">
        <f t="shared" si="5"/>
        <v>1800</v>
      </c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spans="1:42" ht="13.2" x14ac:dyDescent="0.25">
      <c r="A586" s="3" t="s">
        <v>44</v>
      </c>
      <c r="B586" s="7">
        <v>44287</v>
      </c>
      <c r="C586" s="3" t="s">
        <v>36</v>
      </c>
      <c r="D586" s="8">
        <v>117.54463447490457</v>
      </c>
      <c r="E586" s="8">
        <v>60</v>
      </c>
      <c r="F586" s="9">
        <v>264424.05944658874</v>
      </c>
      <c r="G586" s="10">
        <v>-1</v>
      </c>
      <c r="H586" s="9">
        <v>210000</v>
      </c>
      <c r="I586" s="10">
        <v>1</v>
      </c>
      <c r="J586" s="9">
        <v>210000</v>
      </c>
      <c r="K586" s="9">
        <v>8652.1326627018043</v>
      </c>
      <c r="L586" s="10">
        <v>6</v>
      </c>
      <c r="M586" s="10">
        <v>0</v>
      </c>
      <c r="N586" s="9">
        <v>0</v>
      </c>
      <c r="O586" s="9">
        <f t="shared" si="4"/>
        <v>5250</v>
      </c>
      <c r="P586" s="9">
        <f t="shared" si="5"/>
        <v>4200</v>
      </c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spans="1:42" ht="13.2" x14ac:dyDescent="0.25">
      <c r="A587" s="3" t="s">
        <v>379</v>
      </c>
      <c r="B587" s="7">
        <v>44287</v>
      </c>
      <c r="C587" s="3" t="s">
        <v>36</v>
      </c>
      <c r="D587" s="8">
        <v>3</v>
      </c>
      <c r="E587" s="8">
        <v>223.25373374926576</v>
      </c>
      <c r="F587" s="9">
        <v>65869.622971371136</v>
      </c>
      <c r="G587" s="10">
        <v>0</v>
      </c>
      <c r="H587" s="9">
        <v>100000</v>
      </c>
      <c r="I587" s="10">
        <v>0</v>
      </c>
      <c r="J587" s="9">
        <v>0</v>
      </c>
      <c r="K587" s="9">
        <v>0</v>
      </c>
      <c r="L587" s="10">
        <v>0</v>
      </c>
      <c r="M587" s="10">
        <v>0</v>
      </c>
      <c r="N587" s="9">
        <v>0</v>
      </c>
      <c r="O587" s="9">
        <f t="shared" si="4"/>
        <v>0</v>
      </c>
      <c r="P587" s="9">
        <f t="shared" si="5"/>
        <v>0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spans="1:42" ht="13.2" x14ac:dyDescent="0.25">
      <c r="A588" s="3" t="s">
        <v>380</v>
      </c>
      <c r="B588" s="7">
        <v>44287</v>
      </c>
      <c r="C588" s="3" t="s">
        <v>39</v>
      </c>
      <c r="D588" s="8">
        <v>100.20290878350509</v>
      </c>
      <c r="E588" s="8">
        <v>60</v>
      </c>
      <c r="F588" s="9">
        <v>293536.5682095231</v>
      </c>
      <c r="G588" s="10">
        <v>-1</v>
      </c>
      <c r="H588" s="9">
        <v>296000</v>
      </c>
      <c r="I588" s="10">
        <v>1</v>
      </c>
      <c r="J588" s="9">
        <v>296000</v>
      </c>
      <c r="K588" s="9">
        <v>40046.056109258585</v>
      </c>
      <c r="L588" s="10">
        <v>12</v>
      </c>
      <c r="M588" s="10">
        <v>0</v>
      </c>
      <c r="N588" s="9">
        <v>0</v>
      </c>
      <c r="O588" s="9">
        <f t="shared" si="4"/>
        <v>7400</v>
      </c>
      <c r="P588" s="9">
        <f t="shared" si="5"/>
        <v>5920</v>
      </c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spans="1:42" ht="13.2" x14ac:dyDescent="0.25">
      <c r="A589" s="3" t="s">
        <v>381</v>
      </c>
      <c r="B589" s="7">
        <v>44287</v>
      </c>
      <c r="C589" s="3" t="s">
        <v>36</v>
      </c>
      <c r="D589" s="8">
        <v>16.890288555459719</v>
      </c>
      <c r="E589" s="8">
        <v>281.10389942104041</v>
      </c>
      <c r="F589" s="9">
        <v>22426.173477548597</v>
      </c>
      <c r="G589" s="10">
        <v>0</v>
      </c>
      <c r="H589" s="9">
        <v>30000</v>
      </c>
      <c r="I589" s="10">
        <v>1</v>
      </c>
      <c r="J589" s="9">
        <v>30000</v>
      </c>
      <c r="K589" s="9">
        <v>4220.7240390700454</v>
      </c>
      <c r="L589" s="10">
        <v>6</v>
      </c>
      <c r="M589" s="10">
        <v>0</v>
      </c>
      <c r="N589" s="9">
        <v>0</v>
      </c>
      <c r="O589" s="9">
        <f t="shared" si="4"/>
        <v>750</v>
      </c>
      <c r="P589" s="9">
        <f t="shared" si="5"/>
        <v>600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spans="1:42" ht="13.2" x14ac:dyDescent="0.25">
      <c r="A590" s="3" t="s">
        <v>382</v>
      </c>
      <c r="B590" s="7">
        <v>44287</v>
      </c>
      <c r="C590" s="3" t="s">
        <v>36</v>
      </c>
      <c r="D590" s="8">
        <v>6.6897075026020119</v>
      </c>
      <c r="E590" s="8">
        <v>60</v>
      </c>
      <c r="F590" s="9">
        <v>130057.41546505046</v>
      </c>
      <c r="G590" s="10">
        <v>-1</v>
      </c>
      <c r="H590" s="9">
        <v>220000</v>
      </c>
      <c r="I590" s="10">
        <v>1</v>
      </c>
      <c r="J590" s="9">
        <v>220000</v>
      </c>
      <c r="K590" s="9">
        <v>10432.374229734054</v>
      </c>
      <c r="L590" s="10">
        <v>4</v>
      </c>
      <c r="M590" s="10">
        <v>0</v>
      </c>
      <c r="N590" s="9">
        <v>0</v>
      </c>
      <c r="O590" s="9">
        <f t="shared" si="4"/>
        <v>5500</v>
      </c>
      <c r="P590" s="9">
        <f t="shared" si="5"/>
        <v>4400</v>
      </c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spans="1:42" ht="13.2" x14ac:dyDescent="0.25">
      <c r="A591" s="3" t="s">
        <v>344</v>
      </c>
      <c r="B591" s="7">
        <v>44287</v>
      </c>
      <c r="C591" s="3" t="s">
        <v>39</v>
      </c>
      <c r="D591" s="8">
        <v>79.966690893235508</v>
      </c>
      <c r="E591" s="8">
        <v>60</v>
      </c>
      <c r="F591" s="9">
        <v>126085.2535765472</v>
      </c>
      <c r="G591" s="10">
        <v>-1</v>
      </c>
      <c r="H591" s="9">
        <v>210000</v>
      </c>
      <c r="I591" s="10">
        <v>0</v>
      </c>
      <c r="J591" s="9">
        <v>0</v>
      </c>
      <c r="K591" s="9">
        <v>0</v>
      </c>
      <c r="L591" s="10">
        <v>0</v>
      </c>
      <c r="M591" s="10">
        <v>0</v>
      </c>
      <c r="N591" s="9">
        <v>0</v>
      </c>
      <c r="O591" s="9">
        <f t="shared" si="4"/>
        <v>0</v>
      </c>
      <c r="P591" s="9">
        <f t="shared" si="5"/>
        <v>0</v>
      </c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spans="1:42" ht="13.2" x14ac:dyDescent="0.25">
      <c r="A592" s="3" t="s">
        <v>260</v>
      </c>
      <c r="B592" s="7">
        <v>44287</v>
      </c>
      <c r="C592" s="3" t="s">
        <v>36</v>
      </c>
      <c r="D592" s="8">
        <v>3</v>
      </c>
      <c r="E592" s="8">
        <v>237.78532119439856</v>
      </c>
      <c r="F592" s="9">
        <v>13415.339642891695</v>
      </c>
      <c r="G592" s="10">
        <v>-1</v>
      </c>
      <c r="H592" s="9">
        <v>20000</v>
      </c>
      <c r="I592" s="10">
        <v>1</v>
      </c>
      <c r="J592" s="9">
        <v>20000</v>
      </c>
      <c r="K592" s="9">
        <v>849.37611855889907</v>
      </c>
      <c r="L592" s="10">
        <v>5</v>
      </c>
      <c r="M592" s="10">
        <v>0</v>
      </c>
      <c r="N592" s="9">
        <v>0</v>
      </c>
      <c r="O592" s="9">
        <f t="shared" si="4"/>
        <v>500</v>
      </c>
      <c r="P592" s="9">
        <f t="shared" si="5"/>
        <v>400</v>
      </c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spans="1:42" ht="13.2" x14ac:dyDescent="0.25">
      <c r="A593" s="3" t="s">
        <v>383</v>
      </c>
      <c r="B593" s="7">
        <v>44287</v>
      </c>
      <c r="C593" s="3" t="s">
        <v>39</v>
      </c>
      <c r="D593" s="8">
        <v>3</v>
      </c>
      <c r="E593" s="8">
        <v>344.60492969018401</v>
      </c>
      <c r="F593" s="9">
        <v>201123.78340241328</v>
      </c>
      <c r="G593" s="10">
        <v>-1</v>
      </c>
      <c r="H593" s="9">
        <v>260000</v>
      </c>
      <c r="I593" s="10">
        <v>0</v>
      </c>
      <c r="J593" s="9">
        <v>0</v>
      </c>
      <c r="K593" s="9">
        <v>0</v>
      </c>
      <c r="L593" s="10">
        <v>0</v>
      </c>
      <c r="M593" s="10">
        <v>0</v>
      </c>
      <c r="N593" s="9">
        <v>0</v>
      </c>
      <c r="O593" s="9">
        <f t="shared" si="4"/>
        <v>0</v>
      </c>
      <c r="P593" s="9">
        <f t="shared" si="5"/>
        <v>0</v>
      </c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spans="1:42" ht="13.2" x14ac:dyDescent="0.25">
      <c r="A594" s="3" t="s">
        <v>86</v>
      </c>
      <c r="B594" s="7">
        <v>44317</v>
      </c>
      <c r="C594" s="3" t="s">
        <v>36</v>
      </c>
      <c r="D594" s="8">
        <v>3</v>
      </c>
      <c r="E594" s="8">
        <v>176.89667397622964</v>
      </c>
      <c r="F594" s="9">
        <v>84708.064833519733</v>
      </c>
      <c r="G594" s="10">
        <v>0</v>
      </c>
      <c r="H594" s="9">
        <v>140000</v>
      </c>
      <c r="I594" s="10">
        <v>1</v>
      </c>
      <c r="J594" s="9">
        <v>140000</v>
      </c>
      <c r="K594" s="9">
        <v>4279.8885445790966</v>
      </c>
      <c r="L594" s="10">
        <v>5</v>
      </c>
      <c r="M594" s="10">
        <v>0</v>
      </c>
      <c r="N594" s="9">
        <v>0</v>
      </c>
      <c r="O594" s="9">
        <f t="shared" si="4"/>
        <v>3500</v>
      </c>
      <c r="P594" s="9">
        <f t="shared" si="5"/>
        <v>2800</v>
      </c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spans="1:42" ht="13.2" x14ac:dyDescent="0.25">
      <c r="A595" s="3" t="s">
        <v>202</v>
      </c>
      <c r="B595" s="7">
        <v>44317</v>
      </c>
      <c r="C595" s="3" t="s">
        <v>36</v>
      </c>
      <c r="D595" s="8">
        <v>20.937850479372702</v>
      </c>
      <c r="E595" s="8">
        <v>257.51145368422527</v>
      </c>
      <c r="F595" s="9">
        <v>176892.61819068203</v>
      </c>
      <c r="G595" s="10">
        <v>0</v>
      </c>
      <c r="H595" s="9">
        <v>150000</v>
      </c>
      <c r="I595" s="10">
        <v>1</v>
      </c>
      <c r="J595" s="9">
        <v>150000</v>
      </c>
      <c r="K595" s="9">
        <v>11570.968841560229</v>
      </c>
      <c r="L595" s="10">
        <v>6</v>
      </c>
      <c r="M595" s="10">
        <v>0</v>
      </c>
      <c r="N595" s="9">
        <v>0</v>
      </c>
      <c r="O595" s="9">
        <f t="shared" si="4"/>
        <v>3750</v>
      </c>
      <c r="P595" s="9">
        <f t="shared" si="5"/>
        <v>3000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spans="1:42" ht="13.2" x14ac:dyDescent="0.25">
      <c r="A596" s="3" t="s">
        <v>35</v>
      </c>
      <c r="B596" s="7">
        <v>44317</v>
      </c>
      <c r="C596" s="3" t="s">
        <v>36</v>
      </c>
      <c r="D596" s="8">
        <v>3</v>
      </c>
      <c r="E596" s="8">
        <v>60</v>
      </c>
      <c r="F596" s="9">
        <v>44238.79178280905</v>
      </c>
      <c r="G596" s="10">
        <v>-1</v>
      </c>
      <c r="H596" s="9">
        <v>80000</v>
      </c>
      <c r="I596" s="10">
        <v>0</v>
      </c>
      <c r="J596" s="9">
        <v>0</v>
      </c>
      <c r="K596" s="9">
        <v>0</v>
      </c>
      <c r="L596" s="10">
        <v>0</v>
      </c>
      <c r="M596" s="10">
        <v>0</v>
      </c>
      <c r="N596" s="9">
        <v>0</v>
      </c>
      <c r="O596" s="9">
        <f t="shared" si="4"/>
        <v>0</v>
      </c>
      <c r="P596" s="9">
        <f t="shared" si="5"/>
        <v>0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spans="1:42" ht="13.2" x14ac:dyDescent="0.25">
      <c r="A597" s="3" t="s">
        <v>139</v>
      </c>
      <c r="B597" s="7">
        <v>44317</v>
      </c>
      <c r="C597" s="3" t="s">
        <v>36</v>
      </c>
      <c r="D597" s="8">
        <v>57.602176804840667</v>
      </c>
      <c r="E597" s="8">
        <v>132.20462297794535</v>
      </c>
      <c r="F597" s="9">
        <v>288077.83084947686</v>
      </c>
      <c r="G597" s="10">
        <v>0</v>
      </c>
      <c r="H597" s="9">
        <v>480000</v>
      </c>
      <c r="I597" s="10">
        <v>0</v>
      </c>
      <c r="J597" s="9">
        <v>0</v>
      </c>
      <c r="K597" s="9">
        <v>0</v>
      </c>
      <c r="L597" s="10">
        <v>0</v>
      </c>
      <c r="M597" s="10">
        <v>0</v>
      </c>
      <c r="N597" s="9">
        <v>0</v>
      </c>
      <c r="O597" s="9">
        <f t="shared" si="4"/>
        <v>0</v>
      </c>
      <c r="P597" s="9">
        <f t="shared" si="5"/>
        <v>0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spans="1:42" ht="13.2" x14ac:dyDescent="0.25">
      <c r="A598" s="3" t="s">
        <v>146</v>
      </c>
      <c r="B598" s="7">
        <v>44317</v>
      </c>
      <c r="C598" s="3" t="s">
        <v>36</v>
      </c>
      <c r="D598" s="8">
        <v>13.279435440785223</v>
      </c>
      <c r="E598" s="8">
        <v>173.51140032125087</v>
      </c>
      <c r="F598" s="9">
        <v>162127.11777170296</v>
      </c>
      <c r="G598" s="10">
        <v>0</v>
      </c>
      <c r="H598" s="9">
        <v>190000</v>
      </c>
      <c r="I598" s="10">
        <v>0</v>
      </c>
      <c r="J598" s="9">
        <v>0</v>
      </c>
      <c r="K598" s="9">
        <v>0</v>
      </c>
      <c r="L598" s="10">
        <v>0</v>
      </c>
      <c r="M598" s="10">
        <v>0</v>
      </c>
      <c r="N598" s="9">
        <v>0</v>
      </c>
      <c r="O598" s="9">
        <f t="shared" si="4"/>
        <v>0</v>
      </c>
      <c r="P598" s="9">
        <f t="shared" si="5"/>
        <v>0</v>
      </c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spans="1:42" ht="13.2" x14ac:dyDescent="0.25">
      <c r="A599" s="3" t="s">
        <v>384</v>
      </c>
      <c r="B599" s="7">
        <v>44317</v>
      </c>
      <c r="C599" s="3" t="s">
        <v>36</v>
      </c>
      <c r="D599" s="8">
        <v>53.992621330517871</v>
      </c>
      <c r="E599" s="8">
        <v>86.965090575645348</v>
      </c>
      <c r="F599" s="9">
        <v>23828.577968869777</v>
      </c>
      <c r="G599" s="10">
        <v>1</v>
      </c>
      <c r="H599" s="9">
        <v>30000</v>
      </c>
      <c r="I599" s="10">
        <v>1</v>
      </c>
      <c r="J599" s="9">
        <v>30000</v>
      </c>
      <c r="K599" s="9">
        <v>3264.7473985041624</v>
      </c>
      <c r="L599" s="10">
        <v>6</v>
      </c>
      <c r="M599" s="10">
        <v>0</v>
      </c>
      <c r="N599" s="9">
        <v>0</v>
      </c>
      <c r="O599" s="9">
        <f t="shared" si="4"/>
        <v>750</v>
      </c>
      <c r="P599" s="9">
        <f t="shared" si="5"/>
        <v>600</v>
      </c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spans="1:42" ht="13.2" x14ac:dyDescent="0.25">
      <c r="A600" s="3" t="s">
        <v>385</v>
      </c>
      <c r="B600" s="7">
        <v>44317</v>
      </c>
      <c r="C600" s="3" t="s">
        <v>36</v>
      </c>
      <c r="D600" s="8">
        <v>44.194204391877904</v>
      </c>
      <c r="E600" s="8">
        <v>346.36452972629917</v>
      </c>
      <c r="F600" s="9">
        <v>14839.429645757546</v>
      </c>
      <c r="G600" s="10">
        <v>-1</v>
      </c>
      <c r="H600" s="9">
        <v>10000</v>
      </c>
      <c r="I600" s="10">
        <v>1</v>
      </c>
      <c r="J600" s="9">
        <v>10000</v>
      </c>
      <c r="K600" s="9">
        <v>728.43380145657807</v>
      </c>
      <c r="L600" s="10">
        <v>6</v>
      </c>
      <c r="M600" s="10">
        <v>0</v>
      </c>
      <c r="N600" s="9">
        <v>0</v>
      </c>
      <c r="O600" s="9">
        <f t="shared" si="4"/>
        <v>250</v>
      </c>
      <c r="P600" s="9">
        <f t="shared" si="5"/>
        <v>200</v>
      </c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spans="1:42" ht="13.2" x14ac:dyDescent="0.25">
      <c r="A601" s="3" t="s">
        <v>386</v>
      </c>
      <c r="B601" s="7">
        <v>44317</v>
      </c>
      <c r="C601" s="3" t="s">
        <v>36</v>
      </c>
      <c r="D601" s="8">
        <v>29.687270036786067</v>
      </c>
      <c r="E601" s="8">
        <v>60</v>
      </c>
      <c r="F601" s="9">
        <v>141209.55215551596</v>
      </c>
      <c r="G601" s="10">
        <v>0</v>
      </c>
      <c r="H601" s="9">
        <v>202000</v>
      </c>
      <c r="I601" s="10">
        <v>0</v>
      </c>
      <c r="J601" s="9">
        <v>0</v>
      </c>
      <c r="K601" s="9">
        <v>0</v>
      </c>
      <c r="L601" s="10">
        <v>0</v>
      </c>
      <c r="M601" s="10">
        <v>0</v>
      </c>
      <c r="N601" s="9">
        <v>0</v>
      </c>
      <c r="O601" s="9">
        <f t="shared" si="4"/>
        <v>0</v>
      </c>
      <c r="P601" s="9">
        <f t="shared" si="5"/>
        <v>0</v>
      </c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spans="1:42" ht="13.2" x14ac:dyDescent="0.25">
      <c r="A602" s="3" t="s">
        <v>165</v>
      </c>
      <c r="B602" s="7">
        <v>44317</v>
      </c>
      <c r="C602" s="3" t="s">
        <v>36</v>
      </c>
      <c r="D602" s="8">
        <v>87.759064417349407</v>
      </c>
      <c r="E602" s="8">
        <v>352.67505886780145</v>
      </c>
      <c r="F602" s="9">
        <v>126567.75056624753</v>
      </c>
      <c r="G602" s="10">
        <v>0</v>
      </c>
      <c r="H602" s="9">
        <v>83333.333333333343</v>
      </c>
      <c r="I602" s="10">
        <v>1</v>
      </c>
      <c r="J602" s="9">
        <v>83333.333333333343</v>
      </c>
      <c r="K602" s="9">
        <v>4639.8062770070846</v>
      </c>
      <c r="L602" s="10">
        <v>6</v>
      </c>
      <c r="M602" s="10">
        <v>0</v>
      </c>
      <c r="N602" s="9">
        <v>0</v>
      </c>
      <c r="O602" s="9">
        <f t="shared" si="4"/>
        <v>2083.3333333333335</v>
      </c>
      <c r="P602" s="9">
        <f t="shared" si="5"/>
        <v>1666.666666666667</v>
      </c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spans="1:42" ht="13.2" x14ac:dyDescent="0.25">
      <c r="A603" s="3" t="s">
        <v>315</v>
      </c>
      <c r="B603" s="7">
        <v>44317</v>
      </c>
      <c r="C603" s="3" t="s">
        <v>39</v>
      </c>
      <c r="D603" s="8">
        <v>11.211906715399065</v>
      </c>
      <c r="E603" s="8">
        <v>167.95407578651222</v>
      </c>
      <c r="F603" s="9">
        <v>7764.0874750876346</v>
      </c>
      <c r="G603" s="10">
        <v>1</v>
      </c>
      <c r="H603" s="9">
        <v>10000</v>
      </c>
      <c r="I603" s="10">
        <v>0</v>
      </c>
      <c r="J603" s="9">
        <v>0</v>
      </c>
      <c r="K603" s="9">
        <v>0</v>
      </c>
      <c r="L603" s="10">
        <v>0</v>
      </c>
      <c r="M603" s="10">
        <v>0</v>
      </c>
      <c r="N603" s="9">
        <v>0</v>
      </c>
      <c r="O603" s="9">
        <f t="shared" si="4"/>
        <v>0</v>
      </c>
      <c r="P603" s="9">
        <f t="shared" si="5"/>
        <v>0</v>
      </c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spans="1:42" ht="13.2" x14ac:dyDescent="0.25">
      <c r="A604" s="3" t="s">
        <v>387</v>
      </c>
      <c r="B604" s="7">
        <v>44317</v>
      </c>
      <c r="C604" s="3" t="s">
        <v>63</v>
      </c>
      <c r="D604" s="8">
        <v>13.602272982740981</v>
      </c>
      <c r="E604" s="8">
        <v>189.1230818389879</v>
      </c>
      <c r="F604" s="9">
        <v>114260.94033466847</v>
      </c>
      <c r="G604" s="10">
        <v>0</v>
      </c>
      <c r="H604" s="9">
        <v>90000</v>
      </c>
      <c r="I604" s="10">
        <v>1</v>
      </c>
      <c r="J604" s="9">
        <v>90000</v>
      </c>
      <c r="K604" s="9">
        <v>13159.43496268646</v>
      </c>
      <c r="L604" s="10">
        <v>9</v>
      </c>
      <c r="M604" s="10">
        <v>0</v>
      </c>
      <c r="N604" s="9">
        <v>0</v>
      </c>
      <c r="O604" s="9">
        <f t="shared" si="4"/>
        <v>2250</v>
      </c>
      <c r="P604" s="9">
        <f t="shared" si="5"/>
        <v>1800</v>
      </c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spans="1:42" ht="13.2" x14ac:dyDescent="0.25">
      <c r="A605" s="3" t="s">
        <v>67</v>
      </c>
      <c r="B605" s="7">
        <v>44317</v>
      </c>
      <c r="C605" s="3" t="s">
        <v>36</v>
      </c>
      <c r="D605" s="8">
        <v>26.600124304056397</v>
      </c>
      <c r="E605" s="8">
        <v>60</v>
      </c>
      <c r="F605" s="9">
        <v>363426.55846028298</v>
      </c>
      <c r="G605" s="10">
        <v>1</v>
      </c>
      <c r="H605" s="9">
        <v>472000</v>
      </c>
      <c r="I605" s="10">
        <v>0</v>
      </c>
      <c r="J605" s="9">
        <v>0</v>
      </c>
      <c r="K605" s="9">
        <v>0</v>
      </c>
      <c r="L605" s="10">
        <v>0</v>
      </c>
      <c r="M605" s="10">
        <v>0</v>
      </c>
      <c r="N605" s="9">
        <v>0</v>
      </c>
      <c r="O605" s="9">
        <f t="shared" si="4"/>
        <v>0</v>
      </c>
      <c r="P605" s="9">
        <f t="shared" si="5"/>
        <v>0</v>
      </c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spans="1:42" ht="13.2" x14ac:dyDescent="0.25">
      <c r="A606" s="3" t="s">
        <v>388</v>
      </c>
      <c r="B606" s="7">
        <v>44317</v>
      </c>
      <c r="C606" s="3" t="s">
        <v>36</v>
      </c>
      <c r="D606" s="8">
        <v>27.948649449977125</v>
      </c>
      <c r="E606" s="8">
        <v>227.77871464794322</v>
      </c>
      <c r="F606" s="9">
        <v>918.51508858254158</v>
      </c>
      <c r="G606" s="10">
        <v>0</v>
      </c>
      <c r="H606" s="9">
        <v>625</v>
      </c>
      <c r="I606" s="10">
        <v>1</v>
      </c>
      <c r="J606" s="9">
        <v>625</v>
      </c>
      <c r="K606" s="9">
        <v>50.39021123903283</v>
      </c>
      <c r="L606" s="10">
        <v>6</v>
      </c>
      <c r="M606" s="10">
        <v>0</v>
      </c>
      <c r="N606" s="9">
        <v>0</v>
      </c>
      <c r="O606" s="9">
        <f t="shared" si="4"/>
        <v>15.625</v>
      </c>
      <c r="P606" s="9">
        <f t="shared" si="5"/>
        <v>12.5</v>
      </c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spans="1:42" ht="13.2" x14ac:dyDescent="0.25">
      <c r="A607" s="3" t="s">
        <v>389</v>
      </c>
      <c r="B607" s="7">
        <v>44317</v>
      </c>
      <c r="C607" s="3" t="s">
        <v>63</v>
      </c>
      <c r="D607" s="8">
        <v>15.885935202384253</v>
      </c>
      <c r="E607" s="8">
        <v>204.99013242385735</v>
      </c>
      <c r="F607" s="9">
        <v>18971.234859529992</v>
      </c>
      <c r="G607" s="10">
        <v>0</v>
      </c>
      <c r="H607" s="9">
        <v>20000</v>
      </c>
      <c r="I607" s="10">
        <v>1</v>
      </c>
      <c r="J607" s="9">
        <v>20000</v>
      </c>
      <c r="K607" s="9">
        <v>1629.3539151049458</v>
      </c>
      <c r="L607" s="10">
        <v>5</v>
      </c>
      <c r="M607" s="10">
        <v>0</v>
      </c>
      <c r="N607" s="9">
        <v>0</v>
      </c>
      <c r="O607" s="9">
        <f t="shared" si="4"/>
        <v>500</v>
      </c>
      <c r="P607" s="9">
        <f t="shared" si="5"/>
        <v>400</v>
      </c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spans="1:42" ht="13.2" x14ac:dyDescent="0.25">
      <c r="A608" s="3" t="s">
        <v>69</v>
      </c>
      <c r="B608" s="7">
        <v>44317</v>
      </c>
      <c r="C608" s="3" t="s">
        <v>36</v>
      </c>
      <c r="D608" s="8">
        <v>30.013628821759475</v>
      </c>
      <c r="E608" s="8">
        <v>356.67238529191434</v>
      </c>
      <c r="F608" s="9">
        <v>2177346.2505269805</v>
      </c>
      <c r="G608" s="10">
        <v>-1</v>
      </c>
      <c r="H608" s="9">
        <v>1520000</v>
      </c>
      <c r="I608" s="10">
        <v>1</v>
      </c>
      <c r="J608" s="9">
        <v>1520000</v>
      </c>
      <c r="K608" s="9">
        <v>46013.191397321607</v>
      </c>
      <c r="L608" s="10">
        <v>3</v>
      </c>
      <c r="M608" s="10">
        <v>0</v>
      </c>
      <c r="N608" s="9">
        <v>0</v>
      </c>
      <c r="O608" s="9">
        <f t="shared" si="4"/>
        <v>38000</v>
      </c>
      <c r="P608" s="9">
        <f t="shared" si="5"/>
        <v>30400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spans="1:42" ht="13.2" x14ac:dyDescent="0.25">
      <c r="A609" s="3" t="s">
        <v>390</v>
      </c>
      <c r="B609" s="7">
        <v>44317</v>
      </c>
      <c r="C609" s="3" t="s">
        <v>39</v>
      </c>
      <c r="D609" s="8">
        <v>89.8232616850174</v>
      </c>
      <c r="E609" s="8">
        <v>314.87066917309483</v>
      </c>
      <c r="F609" s="9">
        <v>47301.082344982111</v>
      </c>
      <c r="G609" s="10">
        <v>-1</v>
      </c>
      <c r="H609" s="9">
        <v>30000</v>
      </c>
      <c r="I609" s="10">
        <v>1</v>
      </c>
      <c r="J609" s="9">
        <v>30000</v>
      </c>
      <c r="K609" s="9">
        <v>2334.1046248175089</v>
      </c>
      <c r="L609" s="10">
        <v>6</v>
      </c>
      <c r="M609" s="10">
        <v>0</v>
      </c>
      <c r="N609" s="9">
        <v>0</v>
      </c>
      <c r="O609" s="9">
        <f t="shared" si="4"/>
        <v>750</v>
      </c>
      <c r="P609" s="9">
        <f t="shared" si="5"/>
        <v>600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spans="1:42" ht="13.2" x14ac:dyDescent="0.25">
      <c r="A610" s="3" t="s">
        <v>391</v>
      </c>
      <c r="B610" s="7">
        <v>44317</v>
      </c>
      <c r="C610" s="3" t="s">
        <v>39</v>
      </c>
      <c r="D610" s="8">
        <v>34.33481279090681</v>
      </c>
      <c r="E610" s="8">
        <v>270.20667160701242</v>
      </c>
      <c r="F610" s="9">
        <v>78103.967113502134</v>
      </c>
      <c r="G610" s="10">
        <v>-1</v>
      </c>
      <c r="H610" s="9">
        <v>80000</v>
      </c>
      <c r="I610" s="10">
        <v>0</v>
      </c>
      <c r="J610" s="9">
        <v>0</v>
      </c>
      <c r="K610" s="9">
        <v>0</v>
      </c>
      <c r="L610" s="10">
        <v>0</v>
      </c>
      <c r="M610" s="10">
        <v>0</v>
      </c>
      <c r="N610" s="9">
        <v>0</v>
      </c>
      <c r="O610" s="9">
        <f t="shared" si="4"/>
        <v>0</v>
      </c>
      <c r="P610" s="9">
        <f t="shared" si="5"/>
        <v>0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spans="1:42" ht="13.2" x14ac:dyDescent="0.25">
      <c r="A611" s="3" t="s">
        <v>392</v>
      </c>
      <c r="B611" s="7">
        <v>44317</v>
      </c>
      <c r="C611" s="3" t="s">
        <v>36</v>
      </c>
      <c r="D611" s="8">
        <v>20.298144786484137</v>
      </c>
      <c r="E611" s="8">
        <v>60</v>
      </c>
      <c r="F611" s="9">
        <v>16103.592837434628</v>
      </c>
      <c r="G611" s="10">
        <v>-1</v>
      </c>
      <c r="H611" s="9">
        <v>30000</v>
      </c>
      <c r="I611" s="10">
        <v>1</v>
      </c>
      <c r="J611" s="9">
        <v>30000</v>
      </c>
      <c r="K611" s="9">
        <v>1784.5946329400831</v>
      </c>
      <c r="L611" s="10">
        <v>4</v>
      </c>
      <c r="M611" s="10">
        <v>0</v>
      </c>
      <c r="N611" s="9">
        <v>0</v>
      </c>
      <c r="O611" s="9">
        <f t="shared" si="4"/>
        <v>750</v>
      </c>
      <c r="P611" s="9">
        <f t="shared" si="5"/>
        <v>600</v>
      </c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spans="1:42" ht="13.2" x14ac:dyDescent="0.25">
      <c r="A612" s="3" t="s">
        <v>393</v>
      </c>
      <c r="B612" s="7">
        <v>44317</v>
      </c>
      <c r="C612" s="3" t="s">
        <v>36</v>
      </c>
      <c r="D612" s="8">
        <v>3</v>
      </c>
      <c r="E612" s="8">
        <v>63.425743779873699</v>
      </c>
      <c r="F612" s="9">
        <v>5841.8593891146465</v>
      </c>
      <c r="G612" s="10">
        <v>0</v>
      </c>
      <c r="H612" s="9">
        <v>10000</v>
      </c>
      <c r="I612" s="10">
        <v>1</v>
      </c>
      <c r="J612" s="9">
        <v>10000</v>
      </c>
      <c r="K612" s="9">
        <v>1081.6922341912853</v>
      </c>
      <c r="L612" s="10">
        <v>5</v>
      </c>
      <c r="M612" s="10">
        <v>1</v>
      </c>
      <c r="N612" s="9">
        <v>6755.5000000000009</v>
      </c>
      <c r="O612" s="9">
        <f t="shared" si="4"/>
        <v>250</v>
      </c>
      <c r="P612" s="9">
        <f t="shared" si="5"/>
        <v>200</v>
      </c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spans="1:42" ht="13.2" x14ac:dyDescent="0.25">
      <c r="A613" s="3" t="s">
        <v>113</v>
      </c>
      <c r="B613" s="7">
        <v>44317</v>
      </c>
      <c r="C613" s="3" t="s">
        <v>39</v>
      </c>
      <c r="D613" s="8">
        <v>60.157151489361979</v>
      </c>
      <c r="E613" s="8">
        <v>260.76201946573252</v>
      </c>
      <c r="F613" s="9">
        <v>1123343.4899373548</v>
      </c>
      <c r="G613" s="10">
        <v>0</v>
      </c>
      <c r="H613" s="9">
        <v>770000</v>
      </c>
      <c r="I613" s="10">
        <v>1</v>
      </c>
      <c r="J613" s="9">
        <v>770000</v>
      </c>
      <c r="K613" s="9">
        <v>69465.76761287995</v>
      </c>
      <c r="L613" s="10">
        <v>6</v>
      </c>
      <c r="M613" s="10">
        <v>0</v>
      </c>
      <c r="N613" s="9">
        <v>0</v>
      </c>
      <c r="O613" s="9">
        <f t="shared" si="4"/>
        <v>19250</v>
      </c>
      <c r="P613" s="9">
        <f t="shared" si="5"/>
        <v>15400</v>
      </c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spans="1:42" ht="13.2" x14ac:dyDescent="0.25">
      <c r="A614" s="3" t="s">
        <v>394</v>
      </c>
      <c r="B614" s="7">
        <v>44317</v>
      </c>
      <c r="C614" s="3" t="s">
        <v>36</v>
      </c>
      <c r="D614" s="8">
        <v>3</v>
      </c>
      <c r="E614" s="8">
        <v>60</v>
      </c>
      <c r="F614" s="9">
        <v>13252.780466208389</v>
      </c>
      <c r="G614" s="10">
        <v>-1</v>
      </c>
      <c r="H614" s="9">
        <v>20000</v>
      </c>
      <c r="I614" s="10">
        <v>1</v>
      </c>
      <c r="J614" s="9">
        <v>20000</v>
      </c>
      <c r="K614" s="9">
        <v>951.25840421909152</v>
      </c>
      <c r="L614" s="10">
        <v>5</v>
      </c>
      <c r="M614" s="10">
        <v>0</v>
      </c>
      <c r="N614" s="9">
        <v>0</v>
      </c>
      <c r="O614" s="9">
        <f t="shared" si="4"/>
        <v>500</v>
      </c>
      <c r="P614" s="9">
        <f t="shared" si="5"/>
        <v>400</v>
      </c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spans="1:42" ht="13.2" x14ac:dyDescent="0.25">
      <c r="A615" s="3" t="s">
        <v>324</v>
      </c>
      <c r="B615" s="7">
        <v>44317</v>
      </c>
      <c r="C615" s="3" t="s">
        <v>36</v>
      </c>
      <c r="D615" s="8">
        <v>3</v>
      </c>
      <c r="E615" s="8">
        <v>204.84774133815327</v>
      </c>
      <c r="F615" s="9">
        <v>1882.8799495524959</v>
      </c>
      <c r="G615" s="10">
        <v>0</v>
      </c>
      <c r="H615" s="9">
        <v>3333.3333333333335</v>
      </c>
      <c r="I615" s="10">
        <v>0</v>
      </c>
      <c r="J615" s="9">
        <v>0</v>
      </c>
      <c r="K615" s="9">
        <v>0</v>
      </c>
      <c r="L615" s="10">
        <v>0</v>
      </c>
      <c r="M615" s="10">
        <v>0</v>
      </c>
      <c r="N615" s="9">
        <v>0</v>
      </c>
      <c r="O615" s="9">
        <f t="shared" si="4"/>
        <v>0</v>
      </c>
      <c r="P615" s="9">
        <f t="shared" si="5"/>
        <v>0</v>
      </c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spans="1:42" ht="13.2" x14ac:dyDescent="0.25">
      <c r="A616" s="3" t="s">
        <v>302</v>
      </c>
      <c r="B616" s="7">
        <v>44317</v>
      </c>
      <c r="C616" s="3" t="s">
        <v>36</v>
      </c>
      <c r="D616" s="8">
        <v>27.431546718378549</v>
      </c>
      <c r="E616" s="8">
        <v>308.32728205901202</v>
      </c>
      <c r="F616" s="9">
        <v>29368.551959024706</v>
      </c>
      <c r="G616" s="10">
        <v>0</v>
      </c>
      <c r="H616" s="9">
        <v>20000</v>
      </c>
      <c r="I616" s="10">
        <v>1</v>
      </c>
      <c r="J616" s="9">
        <v>20000</v>
      </c>
      <c r="K616" s="9">
        <v>2491.1081390641766</v>
      </c>
      <c r="L616" s="10">
        <v>6</v>
      </c>
      <c r="M616" s="10">
        <v>0</v>
      </c>
      <c r="N616" s="9">
        <v>0</v>
      </c>
      <c r="O616" s="9">
        <f t="shared" si="4"/>
        <v>500</v>
      </c>
      <c r="P616" s="9">
        <f t="shared" si="5"/>
        <v>400</v>
      </c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spans="1:42" ht="13.2" x14ac:dyDescent="0.25">
      <c r="A617" s="3" t="s">
        <v>395</v>
      </c>
      <c r="B617" s="7">
        <v>44317</v>
      </c>
      <c r="C617" s="3" t="s">
        <v>36</v>
      </c>
      <c r="D617" s="8">
        <v>60.229921563151919</v>
      </c>
      <c r="E617" s="8">
        <v>209.67935970757955</v>
      </c>
      <c r="F617" s="9">
        <v>72959.240519753439</v>
      </c>
      <c r="G617" s="10">
        <v>0</v>
      </c>
      <c r="H617" s="9">
        <v>50000</v>
      </c>
      <c r="I617" s="10">
        <v>1</v>
      </c>
      <c r="J617" s="9">
        <v>50000</v>
      </c>
      <c r="K617" s="9">
        <v>3388.7232166652043</v>
      </c>
      <c r="L617" s="10">
        <v>6</v>
      </c>
      <c r="M617" s="10">
        <v>0</v>
      </c>
      <c r="N617" s="9">
        <v>0</v>
      </c>
      <c r="O617" s="9">
        <f t="shared" si="4"/>
        <v>1250</v>
      </c>
      <c r="P617" s="9">
        <f t="shared" si="5"/>
        <v>1000</v>
      </c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spans="1:42" ht="13.2" x14ac:dyDescent="0.25">
      <c r="A618" s="3" t="s">
        <v>396</v>
      </c>
      <c r="B618" s="7">
        <v>44317</v>
      </c>
      <c r="C618" s="3" t="s">
        <v>36</v>
      </c>
      <c r="D618" s="8">
        <v>34.724715335206319</v>
      </c>
      <c r="E618" s="8">
        <v>60</v>
      </c>
      <c r="F618" s="9">
        <v>607.32366272556544</v>
      </c>
      <c r="G618" s="10">
        <v>-1</v>
      </c>
      <c r="H618" s="9">
        <v>857.14285714285711</v>
      </c>
      <c r="I618" s="10">
        <v>0</v>
      </c>
      <c r="J618" s="9">
        <v>0</v>
      </c>
      <c r="K618" s="9">
        <v>0</v>
      </c>
      <c r="L618" s="10">
        <v>0</v>
      </c>
      <c r="M618" s="10">
        <v>0</v>
      </c>
      <c r="N618" s="9">
        <v>0</v>
      </c>
      <c r="O618" s="9">
        <f t="shared" si="4"/>
        <v>0</v>
      </c>
      <c r="P618" s="9">
        <f t="shared" si="5"/>
        <v>0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spans="1:42" ht="13.2" x14ac:dyDescent="0.25">
      <c r="A619" s="3" t="s">
        <v>228</v>
      </c>
      <c r="B619" s="7">
        <v>44317</v>
      </c>
      <c r="C619" s="3" t="s">
        <v>39</v>
      </c>
      <c r="D619" s="8">
        <v>10.578055328051423</v>
      </c>
      <c r="E619" s="8">
        <v>60</v>
      </c>
      <c r="F619" s="9">
        <v>40339.574316976628</v>
      </c>
      <c r="G619" s="10">
        <v>-1</v>
      </c>
      <c r="H619" s="9">
        <v>80000</v>
      </c>
      <c r="I619" s="10">
        <v>0</v>
      </c>
      <c r="J619" s="9">
        <v>0</v>
      </c>
      <c r="K619" s="9">
        <v>0</v>
      </c>
      <c r="L619" s="10">
        <v>0</v>
      </c>
      <c r="M619" s="10">
        <v>0</v>
      </c>
      <c r="N619" s="9">
        <v>0</v>
      </c>
      <c r="O619" s="9">
        <f t="shared" si="4"/>
        <v>0</v>
      </c>
      <c r="P619" s="9">
        <f t="shared" si="5"/>
        <v>0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spans="1:42" ht="13.2" x14ac:dyDescent="0.25">
      <c r="A620" s="3" t="s">
        <v>397</v>
      </c>
      <c r="B620" s="7">
        <v>44317</v>
      </c>
      <c r="C620" s="3" t="s">
        <v>36</v>
      </c>
      <c r="D620" s="8">
        <v>79.910386528171614</v>
      </c>
      <c r="E620" s="8">
        <v>237.12666457824812</v>
      </c>
      <c r="F620" s="9">
        <v>341900.58027755853</v>
      </c>
      <c r="G620" s="10">
        <v>0</v>
      </c>
      <c r="H620" s="9">
        <v>296000</v>
      </c>
      <c r="I620" s="10">
        <v>1</v>
      </c>
      <c r="J620" s="9">
        <v>296000</v>
      </c>
      <c r="K620" s="9">
        <v>19437.018825459956</v>
      </c>
      <c r="L620" s="10">
        <v>9</v>
      </c>
      <c r="M620" s="10">
        <v>0</v>
      </c>
      <c r="N620" s="9">
        <v>0</v>
      </c>
      <c r="O620" s="9">
        <f t="shared" si="4"/>
        <v>7400</v>
      </c>
      <c r="P620" s="9">
        <f t="shared" si="5"/>
        <v>5920</v>
      </c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spans="1:42" ht="13.2" x14ac:dyDescent="0.25">
      <c r="A621" s="3" t="s">
        <v>398</v>
      </c>
      <c r="B621" s="7">
        <v>44317</v>
      </c>
      <c r="C621" s="3" t="s">
        <v>36</v>
      </c>
      <c r="D621" s="8">
        <v>30.294448918909691</v>
      </c>
      <c r="E621" s="8">
        <v>165.55963239741843</v>
      </c>
      <c r="F621" s="9">
        <v>276499.96640727599</v>
      </c>
      <c r="G621" s="10">
        <v>0</v>
      </c>
      <c r="H621" s="9">
        <v>340000</v>
      </c>
      <c r="I621" s="10">
        <v>1</v>
      </c>
      <c r="J621" s="9">
        <v>340000</v>
      </c>
      <c r="K621" s="9">
        <v>48292.488015454728</v>
      </c>
      <c r="L621" s="10">
        <v>8</v>
      </c>
      <c r="M621" s="10">
        <v>1</v>
      </c>
      <c r="N621" s="9">
        <v>234575</v>
      </c>
      <c r="O621" s="9">
        <f t="shared" si="4"/>
        <v>8500</v>
      </c>
      <c r="P621" s="9">
        <f t="shared" si="5"/>
        <v>6800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spans="1:42" ht="13.2" x14ac:dyDescent="0.25">
      <c r="A622" s="3" t="s">
        <v>399</v>
      </c>
      <c r="B622" s="7">
        <v>44317</v>
      </c>
      <c r="C622" s="3" t="s">
        <v>36</v>
      </c>
      <c r="D622" s="8">
        <v>108.35267713726383</v>
      </c>
      <c r="E622" s="8">
        <v>272.8110819331207</v>
      </c>
      <c r="F622" s="9">
        <v>1200250.0903480239</v>
      </c>
      <c r="G622" s="10">
        <v>1</v>
      </c>
      <c r="H622" s="9">
        <v>820000</v>
      </c>
      <c r="I622" s="10">
        <v>0</v>
      </c>
      <c r="J622" s="9">
        <v>0</v>
      </c>
      <c r="K622" s="9">
        <v>0</v>
      </c>
      <c r="L622" s="10">
        <v>0</v>
      </c>
      <c r="M622" s="10">
        <v>0</v>
      </c>
      <c r="N622" s="9">
        <v>0</v>
      </c>
      <c r="O622" s="9">
        <f t="shared" si="4"/>
        <v>0</v>
      </c>
      <c r="P622" s="9">
        <f t="shared" si="5"/>
        <v>0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spans="1:42" ht="13.2" x14ac:dyDescent="0.25">
      <c r="A623" s="3" t="s">
        <v>400</v>
      </c>
      <c r="B623" s="7">
        <v>44317</v>
      </c>
      <c r="C623" s="3" t="s">
        <v>36</v>
      </c>
      <c r="D623" s="8">
        <v>27.108190082226361</v>
      </c>
      <c r="E623" s="8">
        <v>168.49217995164807</v>
      </c>
      <c r="F623" s="9">
        <v>625705.55300560605</v>
      </c>
      <c r="G623" s="10">
        <v>0</v>
      </c>
      <c r="H623" s="9">
        <v>630000</v>
      </c>
      <c r="I623" s="10">
        <v>1</v>
      </c>
      <c r="J623" s="9">
        <v>630000</v>
      </c>
      <c r="K623" s="9">
        <v>83235.435587028653</v>
      </c>
      <c r="L623" s="10">
        <v>8</v>
      </c>
      <c r="M623" s="10">
        <v>0</v>
      </c>
      <c r="N623" s="9">
        <v>0</v>
      </c>
      <c r="O623" s="9">
        <f t="shared" si="4"/>
        <v>15750</v>
      </c>
      <c r="P623" s="9">
        <f t="shared" si="5"/>
        <v>12600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spans="1:42" ht="13.2" x14ac:dyDescent="0.25">
      <c r="A624" s="3" t="s">
        <v>167</v>
      </c>
      <c r="B624" s="7">
        <v>44317</v>
      </c>
      <c r="C624" s="3" t="s">
        <v>39</v>
      </c>
      <c r="D624" s="8">
        <v>17.559148292794003</v>
      </c>
      <c r="E624" s="8">
        <v>138.77925224202892</v>
      </c>
      <c r="F624" s="9">
        <v>108185.22803481643</v>
      </c>
      <c r="G624" s="10">
        <v>-1</v>
      </c>
      <c r="H624" s="9">
        <v>150000</v>
      </c>
      <c r="I624" s="10">
        <v>0</v>
      </c>
      <c r="J624" s="9">
        <v>0</v>
      </c>
      <c r="K624" s="9">
        <v>0</v>
      </c>
      <c r="L624" s="10">
        <v>0</v>
      </c>
      <c r="M624" s="10">
        <v>0</v>
      </c>
      <c r="N624" s="9">
        <v>0</v>
      </c>
      <c r="O624" s="9">
        <f t="shared" si="4"/>
        <v>0</v>
      </c>
      <c r="P624" s="9">
        <f t="shared" si="5"/>
        <v>0</v>
      </c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spans="1:42" ht="13.2" x14ac:dyDescent="0.25">
      <c r="A625" s="3" t="s">
        <v>334</v>
      </c>
      <c r="B625" s="7">
        <v>44317</v>
      </c>
      <c r="C625" s="3" t="s">
        <v>36</v>
      </c>
      <c r="D625" s="8">
        <v>89.08113890430937</v>
      </c>
      <c r="E625" s="8">
        <v>60</v>
      </c>
      <c r="F625" s="9">
        <v>56780.669371024545</v>
      </c>
      <c r="G625" s="10">
        <v>-1</v>
      </c>
      <c r="H625" s="9">
        <v>90000</v>
      </c>
      <c r="I625" s="10">
        <v>1</v>
      </c>
      <c r="J625" s="9">
        <v>90000</v>
      </c>
      <c r="K625" s="9">
        <v>11074.381475369215</v>
      </c>
      <c r="L625" s="10">
        <v>6</v>
      </c>
      <c r="M625" s="10">
        <v>0</v>
      </c>
      <c r="N625" s="9">
        <v>0</v>
      </c>
      <c r="O625" s="9">
        <f t="shared" si="4"/>
        <v>2250</v>
      </c>
      <c r="P625" s="9">
        <f t="shared" si="5"/>
        <v>1800</v>
      </c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spans="1:42" ht="13.2" x14ac:dyDescent="0.25">
      <c r="A626" s="3" t="s">
        <v>379</v>
      </c>
      <c r="B626" s="7">
        <v>44317</v>
      </c>
      <c r="C626" s="3" t="s">
        <v>36</v>
      </c>
      <c r="D626" s="8">
        <v>3</v>
      </c>
      <c r="E626" s="8">
        <v>296.33853516067313</v>
      </c>
      <c r="F626" s="9">
        <v>81755.580495223912</v>
      </c>
      <c r="G626" s="10">
        <v>-1</v>
      </c>
      <c r="H626" s="9">
        <v>120000</v>
      </c>
      <c r="I626" s="10">
        <v>0</v>
      </c>
      <c r="J626" s="9">
        <v>0</v>
      </c>
      <c r="K626" s="9">
        <v>0</v>
      </c>
      <c r="L626" s="10">
        <v>0</v>
      </c>
      <c r="M626" s="10">
        <v>0</v>
      </c>
      <c r="N626" s="9">
        <v>0</v>
      </c>
      <c r="O626" s="9">
        <f t="shared" si="4"/>
        <v>0</v>
      </c>
      <c r="P626" s="9">
        <f t="shared" si="5"/>
        <v>0</v>
      </c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spans="1:42" ht="13.2" x14ac:dyDescent="0.25">
      <c r="A627" s="3" t="s">
        <v>401</v>
      </c>
      <c r="B627" s="7">
        <v>44317</v>
      </c>
      <c r="C627" s="3" t="s">
        <v>36</v>
      </c>
      <c r="D627" s="8">
        <v>14.829129477348964</v>
      </c>
      <c r="E627" s="8">
        <v>333.5518730572872</v>
      </c>
      <c r="F627" s="9">
        <v>160443.32037190255</v>
      </c>
      <c r="G627" s="10">
        <v>0</v>
      </c>
      <c r="H627" s="9">
        <v>150000</v>
      </c>
      <c r="I627" s="10">
        <v>1</v>
      </c>
      <c r="J627" s="9">
        <v>150000</v>
      </c>
      <c r="K627" s="9">
        <v>3241.494630885481</v>
      </c>
      <c r="L627" s="10">
        <v>6</v>
      </c>
      <c r="M627" s="10">
        <v>0</v>
      </c>
      <c r="N627" s="9">
        <v>0</v>
      </c>
      <c r="O627" s="9">
        <f t="shared" si="4"/>
        <v>3750</v>
      </c>
      <c r="P627" s="9">
        <f t="shared" si="5"/>
        <v>3000</v>
      </c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spans="1:42" ht="13.2" x14ac:dyDescent="0.25">
      <c r="A628" s="3" t="s">
        <v>308</v>
      </c>
      <c r="B628" s="7">
        <v>44317</v>
      </c>
      <c r="C628" s="3" t="s">
        <v>36</v>
      </c>
      <c r="D628" s="8">
        <v>145.38771642027379</v>
      </c>
      <c r="E628" s="8">
        <v>60</v>
      </c>
      <c r="F628" s="9">
        <v>303054.96069939056</v>
      </c>
      <c r="G628" s="10">
        <v>-1</v>
      </c>
      <c r="H628" s="9">
        <v>320000</v>
      </c>
      <c r="I628" s="10">
        <v>1</v>
      </c>
      <c r="J628" s="9">
        <v>320000</v>
      </c>
      <c r="K628" s="9">
        <v>38820.123991123022</v>
      </c>
      <c r="L628" s="10">
        <v>6</v>
      </c>
      <c r="M628" s="10">
        <v>0</v>
      </c>
      <c r="N628" s="9">
        <v>0</v>
      </c>
      <c r="O628" s="9">
        <f t="shared" si="4"/>
        <v>8000</v>
      </c>
      <c r="P628" s="9">
        <f t="shared" si="5"/>
        <v>6400</v>
      </c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spans="1:42" ht="13.2" x14ac:dyDescent="0.25">
      <c r="A629" s="3" t="s">
        <v>402</v>
      </c>
      <c r="B629" s="7">
        <v>44317</v>
      </c>
      <c r="C629" s="3" t="s">
        <v>36</v>
      </c>
      <c r="D629" s="8">
        <v>46.158372814004686</v>
      </c>
      <c r="E629" s="8">
        <v>196.44652455347165</v>
      </c>
      <c r="F629" s="9">
        <v>7492.1486400375552</v>
      </c>
      <c r="G629" s="10">
        <v>0</v>
      </c>
      <c r="H629" s="9">
        <v>10000</v>
      </c>
      <c r="I629" s="10">
        <v>1</v>
      </c>
      <c r="J629" s="9">
        <v>10000</v>
      </c>
      <c r="K629" s="9">
        <v>301.85545713466405</v>
      </c>
      <c r="L629" s="10">
        <v>6</v>
      </c>
      <c r="M629" s="10">
        <v>0</v>
      </c>
      <c r="N629" s="9">
        <v>0</v>
      </c>
      <c r="O629" s="9">
        <f t="shared" si="4"/>
        <v>250</v>
      </c>
      <c r="P629" s="9">
        <f t="shared" si="5"/>
        <v>200</v>
      </c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spans="1:42" ht="13.2" x14ac:dyDescent="0.25">
      <c r="A630" s="3" t="s">
        <v>403</v>
      </c>
      <c r="B630" s="7">
        <v>44317</v>
      </c>
      <c r="C630" s="3" t="s">
        <v>39</v>
      </c>
      <c r="D630" s="8">
        <v>3</v>
      </c>
      <c r="E630" s="8">
        <v>172.08773212483246</v>
      </c>
      <c r="F630" s="9">
        <v>716.12387880199287</v>
      </c>
      <c r="G630" s="10">
        <v>-1</v>
      </c>
      <c r="H630" s="9">
        <v>1000</v>
      </c>
      <c r="I630" s="10">
        <v>1</v>
      </c>
      <c r="J630" s="9">
        <v>1000</v>
      </c>
      <c r="K630" s="9">
        <v>15.172578622267622</v>
      </c>
      <c r="L630" s="10">
        <v>3</v>
      </c>
      <c r="M630" s="10">
        <v>0</v>
      </c>
      <c r="N630" s="9">
        <v>0</v>
      </c>
      <c r="O630" s="9">
        <f t="shared" si="4"/>
        <v>25</v>
      </c>
      <c r="P630" s="9">
        <f t="shared" si="5"/>
        <v>20</v>
      </c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spans="1:42" ht="13.2" x14ac:dyDescent="0.25">
      <c r="A631" s="3" t="s">
        <v>376</v>
      </c>
      <c r="B631" s="7">
        <v>44317</v>
      </c>
      <c r="C631" s="3" t="s">
        <v>36</v>
      </c>
      <c r="D631" s="8">
        <v>105.72543038697313</v>
      </c>
      <c r="E631" s="8">
        <v>60</v>
      </c>
      <c r="F631" s="9">
        <v>35354.798228541011</v>
      </c>
      <c r="G631" s="10">
        <v>0</v>
      </c>
      <c r="H631" s="9">
        <v>50000</v>
      </c>
      <c r="I631" s="10">
        <v>1</v>
      </c>
      <c r="J631" s="9">
        <v>50000</v>
      </c>
      <c r="K631" s="9">
        <v>3230.5807735776507</v>
      </c>
      <c r="L631" s="10">
        <v>3</v>
      </c>
      <c r="M631" s="10">
        <v>0</v>
      </c>
      <c r="N631" s="9">
        <v>0</v>
      </c>
      <c r="O631" s="9">
        <f t="shared" si="4"/>
        <v>1250</v>
      </c>
      <c r="P631" s="9">
        <f t="shared" si="5"/>
        <v>1000</v>
      </c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spans="1:42" ht="13.2" x14ac:dyDescent="0.25">
      <c r="A632" s="3" t="s">
        <v>404</v>
      </c>
      <c r="B632" s="7">
        <v>44317</v>
      </c>
      <c r="C632" s="3" t="s">
        <v>36</v>
      </c>
      <c r="D632" s="8">
        <v>98.336537798246283</v>
      </c>
      <c r="E632" s="8">
        <v>173.05628474540922</v>
      </c>
      <c r="F632" s="9">
        <v>243560.3812788644</v>
      </c>
      <c r="G632" s="10">
        <v>-1</v>
      </c>
      <c r="H632" s="9">
        <v>160000</v>
      </c>
      <c r="I632" s="10">
        <v>0</v>
      </c>
      <c r="J632" s="9">
        <v>0</v>
      </c>
      <c r="K632" s="9">
        <v>0</v>
      </c>
      <c r="L632" s="10">
        <v>0</v>
      </c>
      <c r="M632" s="10">
        <v>0</v>
      </c>
      <c r="N632" s="9">
        <v>0</v>
      </c>
      <c r="O632" s="9">
        <f t="shared" si="4"/>
        <v>0</v>
      </c>
      <c r="P632" s="9">
        <f t="shared" si="5"/>
        <v>0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spans="1:42" ht="13.2" x14ac:dyDescent="0.25">
      <c r="A633" s="3" t="s">
        <v>310</v>
      </c>
      <c r="B633" s="7">
        <v>44317</v>
      </c>
      <c r="C633" s="3" t="s">
        <v>36</v>
      </c>
      <c r="D633" s="8">
        <v>83.522048091524056</v>
      </c>
      <c r="E633" s="8">
        <v>202.26040517013956</v>
      </c>
      <c r="F633" s="9">
        <v>476597.93130040233</v>
      </c>
      <c r="G633" s="10">
        <v>1</v>
      </c>
      <c r="H633" s="9">
        <v>470000</v>
      </c>
      <c r="I633" s="10">
        <v>0</v>
      </c>
      <c r="J633" s="9">
        <v>0</v>
      </c>
      <c r="K633" s="9">
        <v>0</v>
      </c>
      <c r="L633" s="10">
        <v>0</v>
      </c>
      <c r="M633" s="10">
        <v>0</v>
      </c>
      <c r="N633" s="9">
        <v>0</v>
      </c>
      <c r="O633" s="9">
        <f t="shared" si="4"/>
        <v>0</v>
      </c>
      <c r="P633" s="9">
        <f t="shared" si="5"/>
        <v>0</v>
      </c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spans="1:42" ht="13.2" x14ac:dyDescent="0.25">
      <c r="A634" s="3" t="s">
        <v>351</v>
      </c>
      <c r="B634" s="7">
        <v>44317</v>
      </c>
      <c r="C634" s="3" t="s">
        <v>39</v>
      </c>
      <c r="D634" s="8">
        <v>38.514268063121101</v>
      </c>
      <c r="E634" s="8">
        <v>207.21667764270913</v>
      </c>
      <c r="F634" s="9">
        <v>43613.1468368758</v>
      </c>
      <c r="G634" s="10">
        <v>0</v>
      </c>
      <c r="H634" s="9">
        <v>30000</v>
      </c>
      <c r="I634" s="10">
        <v>1</v>
      </c>
      <c r="J634" s="9">
        <v>30000</v>
      </c>
      <c r="K634" s="9">
        <v>3263.0526576309603</v>
      </c>
      <c r="L634" s="10">
        <v>6</v>
      </c>
      <c r="M634" s="10">
        <v>0</v>
      </c>
      <c r="N634" s="9">
        <v>0</v>
      </c>
      <c r="O634" s="9">
        <f t="shared" si="4"/>
        <v>750</v>
      </c>
      <c r="P634" s="9">
        <f t="shared" si="5"/>
        <v>600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spans="1:42" ht="13.2" x14ac:dyDescent="0.25">
      <c r="A635" s="3" t="s">
        <v>290</v>
      </c>
      <c r="B635" s="7">
        <v>44317</v>
      </c>
      <c r="C635" s="3" t="s">
        <v>36</v>
      </c>
      <c r="D635" s="8">
        <v>26.21876683391076</v>
      </c>
      <c r="E635" s="8">
        <v>147.228663611634</v>
      </c>
      <c r="F635" s="9">
        <v>560.94973344756966</v>
      </c>
      <c r="G635" s="10">
        <v>-1</v>
      </c>
      <c r="H635" s="9">
        <v>666.66666666666674</v>
      </c>
      <c r="I635" s="10">
        <v>0</v>
      </c>
      <c r="J635" s="9">
        <v>0</v>
      </c>
      <c r="K635" s="9">
        <v>0</v>
      </c>
      <c r="L635" s="10">
        <v>0</v>
      </c>
      <c r="M635" s="10">
        <v>0</v>
      </c>
      <c r="N635" s="9">
        <v>0</v>
      </c>
      <c r="O635" s="9">
        <f t="shared" si="4"/>
        <v>0</v>
      </c>
      <c r="P635" s="9">
        <f t="shared" si="5"/>
        <v>0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spans="1:42" ht="13.2" x14ac:dyDescent="0.25">
      <c r="A636" s="3" t="s">
        <v>393</v>
      </c>
      <c r="B636" s="7">
        <v>44317</v>
      </c>
      <c r="C636" s="3" t="s">
        <v>36</v>
      </c>
      <c r="D636" s="8">
        <v>70.648774373906676</v>
      </c>
      <c r="E636" s="8">
        <v>194.04027351357672</v>
      </c>
      <c r="F636" s="9">
        <v>106.96061439289139</v>
      </c>
      <c r="G636" s="10">
        <v>0</v>
      </c>
      <c r="H636" s="9">
        <v>116.27906976744187</v>
      </c>
      <c r="I636" s="10">
        <v>1</v>
      </c>
      <c r="J636" s="9">
        <v>116.27906976744187</v>
      </c>
      <c r="K636" s="9">
        <v>13.218658652805445</v>
      </c>
      <c r="L636" s="10">
        <v>6</v>
      </c>
      <c r="M636" s="10">
        <v>0</v>
      </c>
      <c r="N636" s="9">
        <v>0</v>
      </c>
      <c r="O636" s="9">
        <f t="shared" si="4"/>
        <v>2.9069767441860468</v>
      </c>
      <c r="P636" s="9">
        <f t="shared" si="5"/>
        <v>2.3255813953488373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spans="1:42" ht="13.2" x14ac:dyDescent="0.25">
      <c r="A637" s="3" t="s">
        <v>73</v>
      </c>
      <c r="B637" s="7">
        <v>44317</v>
      </c>
      <c r="C637" s="3" t="s">
        <v>39</v>
      </c>
      <c r="D637" s="8">
        <v>129.22830908471929</v>
      </c>
      <c r="E637" s="8">
        <v>60</v>
      </c>
      <c r="F637" s="9">
        <v>60940.6261366158</v>
      </c>
      <c r="G637" s="10">
        <v>-1</v>
      </c>
      <c r="H637" s="9">
        <v>60000</v>
      </c>
      <c r="I637" s="10">
        <v>1</v>
      </c>
      <c r="J637" s="9">
        <v>60000</v>
      </c>
      <c r="K637" s="9">
        <v>4529.3828142719658</v>
      </c>
      <c r="L637" s="10">
        <v>5</v>
      </c>
      <c r="M637" s="10">
        <v>0</v>
      </c>
      <c r="N637" s="9">
        <v>0</v>
      </c>
      <c r="O637" s="9">
        <f t="shared" si="4"/>
        <v>1500</v>
      </c>
      <c r="P637" s="9">
        <f t="shared" si="5"/>
        <v>1200</v>
      </c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spans="1:42" ht="13.2" x14ac:dyDescent="0.25">
      <c r="A638" s="3" t="s">
        <v>363</v>
      </c>
      <c r="B638" s="7">
        <v>44317</v>
      </c>
      <c r="C638" s="3" t="s">
        <v>36</v>
      </c>
      <c r="D638" s="8">
        <v>23.287225974526351</v>
      </c>
      <c r="E638" s="8">
        <v>232.01135436978308</v>
      </c>
      <c r="F638" s="9">
        <v>3918.909681402914</v>
      </c>
      <c r="G638" s="10">
        <v>0</v>
      </c>
      <c r="H638" s="9">
        <v>5000</v>
      </c>
      <c r="I638" s="10">
        <v>1</v>
      </c>
      <c r="J638" s="9">
        <v>5000</v>
      </c>
      <c r="K638" s="9">
        <v>439.3442919348152</v>
      </c>
      <c r="L638" s="10">
        <v>6</v>
      </c>
      <c r="M638" s="10">
        <v>0</v>
      </c>
      <c r="N638" s="9">
        <v>0</v>
      </c>
      <c r="O638" s="9">
        <f t="shared" si="4"/>
        <v>125</v>
      </c>
      <c r="P638" s="9">
        <f t="shared" si="5"/>
        <v>100</v>
      </c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spans="1:42" ht="13.2" x14ac:dyDescent="0.25">
      <c r="A639" s="3" t="s">
        <v>164</v>
      </c>
      <c r="B639" s="7">
        <v>44317</v>
      </c>
      <c r="C639" s="3" t="s">
        <v>36</v>
      </c>
      <c r="D639" s="8">
        <v>50.902950133734045</v>
      </c>
      <c r="E639" s="8">
        <v>209.96081983714672</v>
      </c>
      <c r="F639" s="9">
        <v>694.49534434443478</v>
      </c>
      <c r="G639" s="10">
        <v>0</v>
      </c>
      <c r="H639" s="9">
        <v>476.1904761904762</v>
      </c>
      <c r="I639" s="10">
        <v>1</v>
      </c>
      <c r="J639" s="9">
        <v>476.1904761904762</v>
      </c>
      <c r="K639" s="9">
        <v>22.971924849074366</v>
      </c>
      <c r="L639" s="10">
        <v>4</v>
      </c>
      <c r="M639" s="10">
        <v>0</v>
      </c>
      <c r="N639" s="9">
        <v>0</v>
      </c>
      <c r="O639" s="9">
        <f t="shared" si="4"/>
        <v>11.904761904761905</v>
      </c>
      <c r="P639" s="9">
        <f t="shared" si="5"/>
        <v>9.5238095238095237</v>
      </c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spans="1:42" ht="13.2" x14ac:dyDescent="0.25">
      <c r="A640" s="3" t="s">
        <v>405</v>
      </c>
      <c r="B640" s="7">
        <v>44317</v>
      </c>
      <c r="C640" s="3" t="s">
        <v>36</v>
      </c>
      <c r="D640" s="8">
        <v>14.292170897238329</v>
      </c>
      <c r="E640" s="8">
        <v>108.61491003156954</v>
      </c>
      <c r="F640" s="9">
        <v>14006.762024571177</v>
      </c>
      <c r="G640" s="10">
        <v>1</v>
      </c>
      <c r="H640" s="9">
        <v>20000</v>
      </c>
      <c r="I640" s="10">
        <v>1</v>
      </c>
      <c r="J640" s="9">
        <v>20000</v>
      </c>
      <c r="K640" s="9">
        <v>311.31489197396377</v>
      </c>
      <c r="L640" s="10">
        <v>6</v>
      </c>
      <c r="M640" s="10">
        <v>0</v>
      </c>
      <c r="N640" s="9">
        <v>0</v>
      </c>
      <c r="O640" s="9">
        <f t="shared" si="4"/>
        <v>500</v>
      </c>
      <c r="P640" s="9">
        <f t="shared" si="5"/>
        <v>400</v>
      </c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spans="1:42" ht="13.2" x14ac:dyDescent="0.25">
      <c r="A641" s="3" t="s">
        <v>406</v>
      </c>
      <c r="B641" s="7">
        <v>44317</v>
      </c>
      <c r="C641" s="3" t="s">
        <v>36</v>
      </c>
      <c r="D641" s="8">
        <v>56.436987503011039</v>
      </c>
      <c r="E641" s="8">
        <v>60</v>
      </c>
      <c r="F641" s="9">
        <v>9498.7471006034775</v>
      </c>
      <c r="G641" s="10">
        <v>-1</v>
      </c>
      <c r="H641" s="9">
        <v>10000</v>
      </c>
      <c r="I641" s="10">
        <v>1</v>
      </c>
      <c r="J641" s="9">
        <v>10000</v>
      </c>
      <c r="K641" s="9">
        <v>514.96218054773965</v>
      </c>
      <c r="L641" s="10">
        <v>6</v>
      </c>
      <c r="M641" s="10">
        <v>0</v>
      </c>
      <c r="N641" s="9">
        <v>0</v>
      </c>
      <c r="O641" s="9">
        <f t="shared" si="4"/>
        <v>250</v>
      </c>
      <c r="P641" s="9">
        <f t="shared" si="5"/>
        <v>200</v>
      </c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spans="1:42" ht="13.2" x14ac:dyDescent="0.25">
      <c r="A642" s="3" t="s">
        <v>407</v>
      </c>
      <c r="B642" s="7">
        <v>44317</v>
      </c>
      <c r="C642" s="3" t="s">
        <v>36</v>
      </c>
      <c r="D642" s="8">
        <v>25.368749197501824</v>
      </c>
      <c r="E642" s="8">
        <v>309.17785185349231</v>
      </c>
      <c r="F642" s="9">
        <v>264396.4353470254</v>
      </c>
      <c r="G642" s="10">
        <v>0</v>
      </c>
      <c r="H642" s="9">
        <v>270000</v>
      </c>
      <c r="I642" s="10">
        <v>1</v>
      </c>
      <c r="J642" s="9">
        <v>270000</v>
      </c>
      <c r="K642" s="9">
        <v>20389.962436796181</v>
      </c>
      <c r="L642" s="10">
        <v>6</v>
      </c>
      <c r="M642" s="10">
        <v>0</v>
      </c>
      <c r="N642" s="9">
        <v>0</v>
      </c>
      <c r="O642" s="9">
        <f t="shared" si="4"/>
        <v>6750</v>
      </c>
      <c r="P642" s="9">
        <f t="shared" si="5"/>
        <v>5400</v>
      </c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spans="1:42" ht="13.2" x14ac:dyDescent="0.25">
      <c r="A643" s="3" t="s">
        <v>408</v>
      </c>
      <c r="B643" s="7">
        <v>44317</v>
      </c>
      <c r="C643" s="3" t="s">
        <v>39</v>
      </c>
      <c r="D643" s="8">
        <v>55.423067004982407</v>
      </c>
      <c r="E643" s="8">
        <v>301.24005344282813</v>
      </c>
      <c r="F643" s="9">
        <v>93401.606883358792</v>
      </c>
      <c r="G643" s="10">
        <v>1</v>
      </c>
      <c r="H643" s="9">
        <v>60000</v>
      </c>
      <c r="I643" s="10">
        <v>1</v>
      </c>
      <c r="J643" s="9">
        <v>60000</v>
      </c>
      <c r="K643" s="9">
        <v>5263.2378858221355</v>
      </c>
      <c r="L643" s="10">
        <v>6</v>
      </c>
      <c r="M643" s="10">
        <v>0</v>
      </c>
      <c r="N643" s="9">
        <v>0</v>
      </c>
      <c r="O643" s="9">
        <f t="shared" si="4"/>
        <v>1500</v>
      </c>
      <c r="P643" s="9">
        <f t="shared" si="5"/>
        <v>1200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spans="1:42" ht="13.2" x14ac:dyDescent="0.25">
      <c r="A644" s="3" t="s">
        <v>409</v>
      </c>
      <c r="B644" s="7">
        <v>44317</v>
      </c>
      <c r="C644" s="3" t="s">
        <v>36</v>
      </c>
      <c r="D644" s="8">
        <v>68.072802489841251</v>
      </c>
      <c r="E644" s="8">
        <v>115.83034126309221</v>
      </c>
      <c r="F644" s="9">
        <v>1658673.1974068345</v>
      </c>
      <c r="G644" s="10">
        <v>1</v>
      </c>
      <c r="H644" s="9">
        <v>1400000</v>
      </c>
      <c r="I644" s="10">
        <v>0</v>
      </c>
      <c r="J644" s="9">
        <v>0</v>
      </c>
      <c r="K644" s="9">
        <v>0</v>
      </c>
      <c r="L644" s="10">
        <v>0</v>
      </c>
      <c r="M644" s="10">
        <v>0</v>
      </c>
      <c r="N644" s="9">
        <v>0</v>
      </c>
      <c r="O644" s="9">
        <f t="shared" si="4"/>
        <v>0</v>
      </c>
      <c r="P644" s="9">
        <f t="shared" si="5"/>
        <v>0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spans="1:42" ht="13.2" x14ac:dyDescent="0.25">
      <c r="A645" s="3" t="s">
        <v>355</v>
      </c>
      <c r="B645" s="7">
        <v>44317</v>
      </c>
      <c r="C645" s="3" t="s">
        <v>36</v>
      </c>
      <c r="D645" s="8">
        <v>10.184917541253366</v>
      </c>
      <c r="E645" s="8">
        <v>60</v>
      </c>
      <c r="F645" s="9">
        <v>680.53430934007258</v>
      </c>
      <c r="G645" s="10">
        <v>-1</v>
      </c>
      <c r="H645" s="9">
        <v>1081.081081081081</v>
      </c>
      <c r="I645" s="10">
        <v>0</v>
      </c>
      <c r="J645" s="9">
        <v>0</v>
      </c>
      <c r="K645" s="9">
        <v>0</v>
      </c>
      <c r="L645" s="10">
        <v>0</v>
      </c>
      <c r="M645" s="10">
        <v>0</v>
      </c>
      <c r="N645" s="9">
        <v>0</v>
      </c>
      <c r="O645" s="9">
        <f t="shared" si="4"/>
        <v>0</v>
      </c>
      <c r="P645" s="9">
        <f t="shared" si="5"/>
        <v>0</v>
      </c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spans="1:42" ht="13.2" x14ac:dyDescent="0.25">
      <c r="A646" s="3" t="s">
        <v>380</v>
      </c>
      <c r="B646" s="7">
        <v>44317</v>
      </c>
      <c r="C646" s="3" t="s">
        <v>39</v>
      </c>
      <c r="D646" s="8">
        <v>102.99351764844219</v>
      </c>
      <c r="E646" s="8">
        <v>214.19995768666368</v>
      </c>
      <c r="F646" s="9">
        <v>457674.0279514406</v>
      </c>
      <c r="G646" s="10">
        <v>1</v>
      </c>
      <c r="H646" s="9">
        <v>361000</v>
      </c>
      <c r="I646" s="10">
        <v>1</v>
      </c>
      <c r="J646" s="9">
        <v>361000</v>
      </c>
      <c r="K646" s="9">
        <v>52387.631118850542</v>
      </c>
      <c r="L646" s="10">
        <v>12</v>
      </c>
      <c r="M646" s="10">
        <v>0</v>
      </c>
      <c r="N646" s="9">
        <v>0</v>
      </c>
      <c r="O646" s="9">
        <f t="shared" si="4"/>
        <v>9025</v>
      </c>
      <c r="P646" s="9">
        <f t="shared" si="5"/>
        <v>7220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spans="1:42" ht="13.2" x14ac:dyDescent="0.25">
      <c r="A647" s="3" t="s">
        <v>370</v>
      </c>
      <c r="B647" s="7">
        <v>44317</v>
      </c>
      <c r="C647" s="3" t="s">
        <v>36</v>
      </c>
      <c r="D647" s="8">
        <v>3</v>
      </c>
      <c r="E647" s="8">
        <v>266.1050512496488</v>
      </c>
      <c r="F647" s="9">
        <v>30462.734110673904</v>
      </c>
      <c r="G647" s="10">
        <v>-1</v>
      </c>
      <c r="H647" s="9">
        <v>23076.923076923074</v>
      </c>
      <c r="I647" s="10">
        <v>1</v>
      </c>
      <c r="J647" s="9">
        <v>23076.923076923074</v>
      </c>
      <c r="K647" s="9">
        <v>1350.0892127864579</v>
      </c>
      <c r="L647" s="10">
        <v>6</v>
      </c>
      <c r="M647" s="10">
        <v>0</v>
      </c>
      <c r="N647" s="9">
        <v>0</v>
      </c>
      <c r="O647" s="9">
        <f t="shared" si="4"/>
        <v>576.92307692307691</v>
      </c>
      <c r="P647" s="9">
        <f t="shared" si="5"/>
        <v>461.53846153846149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spans="1:42" ht="13.2" x14ac:dyDescent="0.25">
      <c r="A648" s="3" t="s">
        <v>96</v>
      </c>
      <c r="B648" s="7">
        <v>44317</v>
      </c>
      <c r="C648" s="3" t="s">
        <v>36</v>
      </c>
      <c r="D648" s="8">
        <v>152.36094722224556</v>
      </c>
      <c r="E648" s="8">
        <v>60</v>
      </c>
      <c r="F648" s="9">
        <v>46226.114115724464</v>
      </c>
      <c r="G648" s="10">
        <v>-1</v>
      </c>
      <c r="H648" s="9">
        <v>70000</v>
      </c>
      <c r="I648" s="10">
        <v>1</v>
      </c>
      <c r="J648" s="9">
        <v>70000</v>
      </c>
      <c r="K648" s="9">
        <v>1953.1291076981738</v>
      </c>
      <c r="L648" s="10">
        <v>6</v>
      </c>
      <c r="M648" s="10">
        <v>0</v>
      </c>
      <c r="N648" s="9">
        <v>0</v>
      </c>
      <c r="O648" s="9">
        <f t="shared" si="4"/>
        <v>1750</v>
      </c>
      <c r="P648" s="9">
        <f t="shared" si="5"/>
        <v>1400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spans="1:42" ht="13.2" x14ac:dyDescent="0.25">
      <c r="A649" s="3" t="s">
        <v>410</v>
      </c>
      <c r="B649" s="7">
        <v>44317</v>
      </c>
      <c r="C649" s="3" t="s">
        <v>39</v>
      </c>
      <c r="D649" s="8">
        <v>5.4457223605538658</v>
      </c>
      <c r="E649" s="8">
        <v>175.74379963580856</v>
      </c>
      <c r="F649" s="9">
        <v>6723.9326830346645</v>
      </c>
      <c r="G649" s="10">
        <v>1</v>
      </c>
      <c r="H649" s="9">
        <v>10000</v>
      </c>
      <c r="I649" s="10">
        <v>0</v>
      </c>
      <c r="J649" s="9">
        <v>0</v>
      </c>
      <c r="K649" s="9">
        <v>0</v>
      </c>
      <c r="L649" s="10">
        <v>0</v>
      </c>
      <c r="M649" s="10">
        <v>0</v>
      </c>
      <c r="N649" s="9">
        <v>0</v>
      </c>
      <c r="O649" s="9">
        <f t="shared" si="4"/>
        <v>0</v>
      </c>
      <c r="P649" s="9">
        <f t="shared" si="5"/>
        <v>0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spans="1:42" ht="13.2" x14ac:dyDescent="0.25">
      <c r="A650" s="3" t="s">
        <v>411</v>
      </c>
      <c r="B650" s="7">
        <v>44317</v>
      </c>
      <c r="C650" s="3" t="s">
        <v>39</v>
      </c>
      <c r="D650" s="8">
        <v>4.3874399330558624</v>
      </c>
      <c r="E650" s="8">
        <v>159.09466370118011</v>
      </c>
      <c r="F650" s="9">
        <v>53419.65142597918</v>
      </c>
      <c r="G650" s="10">
        <v>-1</v>
      </c>
      <c r="H650" s="9">
        <v>70000</v>
      </c>
      <c r="I650" s="10">
        <v>0</v>
      </c>
      <c r="J650" s="9">
        <v>0</v>
      </c>
      <c r="K650" s="9">
        <v>0</v>
      </c>
      <c r="L650" s="10">
        <v>0</v>
      </c>
      <c r="M650" s="10">
        <v>0</v>
      </c>
      <c r="N650" s="9">
        <v>0</v>
      </c>
      <c r="O650" s="9">
        <f t="shared" si="4"/>
        <v>0</v>
      </c>
      <c r="P650" s="9">
        <f t="shared" si="5"/>
        <v>0</v>
      </c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spans="1:42" ht="13.2" x14ac:dyDescent="0.25">
      <c r="A651" s="3" t="s">
        <v>412</v>
      </c>
      <c r="B651" s="7">
        <v>44317</v>
      </c>
      <c r="C651" s="3" t="s">
        <v>39</v>
      </c>
      <c r="D651" s="8">
        <v>66.978141429335594</v>
      </c>
      <c r="E651" s="8">
        <v>60</v>
      </c>
      <c r="F651" s="9">
        <v>47246.391789161178</v>
      </c>
      <c r="G651" s="10">
        <v>-1</v>
      </c>
      <c r="H651" s="9">
        <v>90000</v>
      </c>
      <c r="I651" s="10">
        <v>1</v>
      </c>
      <c r="J651" s="9">
        <v>90000</v>
      </c>
      <c r="K651" s="9">
        <v>7213.3385306887567</v>
      </c>
      <c r="L651" s="10">
        <v>6</v>
      </c>
      <c r="M651" s="10">
        <v>0</v>
      </c>
      <c r="N651" s="9">
        <v>0</v>
      </c>
      <c r="O651" s="9">
        <f t="shared" si="4"/>
        <v>2250</v>
      </c>
      <c r="P651" s="9">
        <f t="shared" si="5"/>
        <v>1800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spans="1:42" ht="13.2" x14ac:dyDescent="0.25">
      <c r="A652" s="3" t="s">
        <v>142</v>
      </c>
      <c r="B652" s="7">
        <v>44317</v>
      </c>
      <c r="C652" s="3" t="s">
        <v>39</v>
      </c>
      <c r="D652" s="8">
        <v>49.935022150559391</v>
      </c>
      <c r="E652" s="8">
        <v>241.43670496622332</v>
      </c>
      <c r="F652" s="9">
        <v>146188.8127874996</v>
      </c>
      <c r="G652" s="10">
        <v>1</v>
      </c>
      <c r="H652" s="9">
        <v>150000</v>
      </c>
      <c r="I652" s="10">
        <v>0</v>
      </c>
      <c r="J652" s="9">
        <v>0</v>
      </c>
      <c r="K652" s="9">
        <v>0</v>
      </c>
      <c r="L652" s="10">
        <v>0</v>
      </c>
      <c r="M652" s="10">
        <v>0</v>
      </c>
      <c r="N652" s="9">
        <v>0</v>
      </c>
      <c r="O652" s="9">
        <f t="shared" si="4"/>
        <v>0</v>
      </c>
      <c r="P652" s="9">
        <f t="shared" si="5"/>
        <v>0</v>
      </c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spans="1:42" ht="13.2" x14ac:dyDescent="0.25">
      <c r="A653" s="3" t="s">
        <v>413</v>
      </c>
      <c r="B653" s="7">
        <v>44317</v>
      </c>
      <c r="C653" s="3" t="s">
        <v>36</v>
      </c>
      <c r="D653" s="8">
        <v>33.243275149083402</v>
      </c>
      <c r="E653" s="8">
        <v>60</v>
      </c>
      <c r="F653" s="9">
        <v>220484.73584442266</v>
      </c>
      <c r="G653" s="10">
        <v>0</v>
      </c>
      <c r="H653" s="9">
        <v>290000</v>
      </c>
      <c r="I653" s="10">
        <v>0</v>
      </c>
      <c r="J653" s="9">
        <v>0</v>
      </c>
      <c r="K653" s="9">
        <v>0</v>
      </c>
      <c r="L653" s="10">
        <v>0</v>
      </c>
      <c r="M653" s="10">
        <v>0</v>
      </c>
      <c r="N653" s="9">
        <v>0</v>
      </c>
      <c r="O653" s="9">
        <f t="shared" si="4"/>
        <v>0</v>
      </c>
      <c r="P653" s="9">
        <f t="shared" si="5"/>
        <v>0</v>
      </c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spans="1:42" ht="13.2" x14ac:dyDescent="0.25">
      <c r="A654" s="3" t="s">
        <v>414</v>
      </c>
      <c r="B654" s="7">
        <v>44317</v>
      </c>
      <c r="C654" s="3" t="s">
        <v>36</v>
      </c>
      <c r="D654" s="8">
        <v>3</v>
      </c>
      <c r="E654" s="8">
        <v>109.79188176447292</v>
      </c>
      <c r="F654" s="9">
        <v>6503.1764947080428</v>
      </c>
      <c r="G654" s="10">
        <v>0</v>
      </c>
      <c r="H654" s="9">
        <v>10000</v>
      </c>
      <c r="I654" s="10">
        <v>1</v>
      </c>
      <c r="J654" s="9">
        <v>10000</v>
      </c>
      <c r="K654" s="9">
        <v>1353.8062064601625</v>
      </c>
      <c r="L654" s="10">
        <v>6</v>
      </c>
      <c r="M654" s="10">
        <v>0</v>
      </c>
      <c r="N654" s="9">
        <v>0</v>
      </c>
      <c r="O654" s="9">
        <f t="shared" si="4"/>
        <v>250</v>
      </c>
      <c r="P654" s="9">
        <f t="shared" si="5"/>
        <v>200</v>
      </c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spans="1:42" ht="13.2" x14ac:dyDescent="0.25">
      <c r="A655" s="3" t="s">
        <v>415</v>
      </c>
      <c r="B655" s="7">
        <v>44317</v>
      </c>
      <c r="C655" s="3" t="s">
        <v>36</v>
      </c>
      <c r="D655" s="8">
        <v>10.46328608125895</v>
      </c>
      <c r="E655" s="8">
        <v>196.3626505663766</v>
      </c>
      <c r="F655" s="9">
        <v>105438.02580542235</v>
      </c>
      <c r="G655" s="10">
        <v>-1</v>
      </c>
      <c r="H655" s="9">
        <v>130000</v>
      </c>
      <c r="I655" s="10">
        <v>1</v>
      </c>
      <c r="J655" s="9">
        <v>130000</v>
      </c>
      <c r="K655" s="9">
        <v>12117.495383163401</v>
      </c>
      <c r="L655" s="10">
        <v>6</v>
      </c>
      <c r="M655" s="10">
        <v>0</v>
      </c>
      <c r="N655" s="9">
        <v>0</v>
      </c>
      <c r="O655" s="9">
        <f t="shared" si="4"/>
        <v>3250</v>
      </c>
      <c r="P655" s="9">
        <f t="shared" si="5"/>
        <v>2600</v>
      </c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spans="1:42" ht="13.2" x14ac:dyDescent="0.25">
      <c r="A656" s="3" t="s">
        <v>323</v>
      </c>
      <c r="B656" s="7">
        <v>44317</v>
      </c>
      <c r="C656" s="3" t="s">
        <v>36</v>
      </c>
      <c r="D656" s="8">
        <v>3</v>
      </c>
      <c r="E656" s="8">
        <v>328.38057201111417</v>
      </c>
      <c r="F656" s="9">
        <v>14311.877711818686</v>
      </c>
      <c r="G656" s="10">
        <v>-1</v>
      </c>
      <c r="H656" s="9">
        <v>20000</v>
      </c>
      <c r="I656" s="10">
        <v>1</v>
      </c>
      <c r="J656" s="9">
        <v>20000</v>
      </c>
      <c r="K656" s="9">
        <v>1498.6964221698072</v>
      </c>
      <c r="L656" s="10">
        <v>6</v>
      </c>
      <c r="M656" s="10">
        <v>0</v>
      </c>
      <c r="N656" s="9">
        <v>0</v>
      </c>
      <c r="O656" s="9">
        <f t="shared" si="4"/>
        <v>500</v>
      </c>
      <c r="P656" s="9">
        <f t="shared" si="5"/>
        <v>400</v>
      </c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spans="1:42" ht="13.2" x14ac:dyDescent="0.25">
      <c r="A657" s="3" t="s">
        <v>416</v>
      </c>
      <c r="B657" s="7">
        <v>44317</v>
      </c>
      <c r="C657" s="3" t="s">
        <v>36</v>
      </c>
      <c r="D657" s="8">
        <v>96.707455584054131</v>
      </c>
      <c r="E657" s="8">
        <v>60</v>
      </c>
      <c r="F657" s="9">
        <v>335034.46468508255</v>
      </c>
      <c r="G657" s="10">
        <v>1</v>
      </c>
      <c r="H657" s="9">
        <v>550000</v>
      </c>
      <c r="I657" s="10">
        <v>0</v>
      </c>
      <c r="J657" s="9">
        <v>0</v>
      </c>
      <c r="K657" s="9">
        <v>0</v>
      </c>
      <c r="L657" s="10">
        <v>0</v>
      </c>
      <c r="M657" s="10">
        <v>0</v>
      </c>
      <c r="N657" s="9">
        <v>0</v>
      </c>
      <c r="O657" s="9">
        <f t="shared" si="4"/>
        <v>0</v>
      </c>
      <c r="P657" s="9">
        <f t="shared" si="5"/>
        <v>0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spans="1:42" ht="13.2" x14ac:dyDescent="0.25">
      <c r="A658" s="3" t="s">
        <v>254</v>
      </c>
      <c r="B658" s="7">
        <v>44317</v>
      </c>
      <c r="C658" s="3" t="s">
        <v>36</v>
      </c>
      <c r="D658" s="8">
        <v>35.882792985566056</v>
      </c>
      <c r="E658" s="8">
        <v>349.10754413560312</v>
      </c>
      <c r="F658" s="9">
        <v>374703.51786946389</v>
      </c>
      <c r="G658" s="10">
        <v>0</v>
      </c>
      <c r="H658" s="9">
        <v>240000</v>
      </c>
      <c r="I658" s="10">
        <v>0</v>
      </c>
      <c r="J658" s="9">
        <v>0</v>
      </c>
      <c r="K658" s="9">
        <v>0</v>
      </c>
      <c r="L658" s="10">
        <v>0</v>
      </c>
      <c r="M658" s="10">
        <v>0</v>
      </c>
      <c r="N658" s="9">
        <v>0</v>
      </c>
      <c r="O658" s="9">
        <f t="shared" si="4"/>
        <v>0</v>
      </c>
      <c r="P658" s="9">
        <f t="shared" si="5"/>
        <v>0</v>
      </c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spans="1:42" ht="13.2" x14ac:dyDescent="0.25">
      <c r="A659" s="3" t="s">
        <v>225</v>
      </c>
      <c r="B659" s="7">
        <v>44317</v>
      </c>
      <c r="C659" s="3" t="s">
        <v>63</v>
      </c>
      <c r="D659" s="8">
        <v>15.171583487178161</v>
      </c>
      <c r="E659" s="8">
        <v>244.9486537928446</v>
      </c>
      <c r="F659" s="9">
        <v>144532.80365978822</v>
      </c>
      <c r="G659" s="10">
        <v>0</v>
      </c>
      <c r="H659" s="9">
        <v>120000</v>
      </c>
      <c r="I659" s="10">
        <v>1</v>
      </c>
      <c r="J659" s="9">
        <v>120000</v>
      </c>
      <c r="K659" s="9">
        <v>14314.953508997842</v>
      </c>
      <c r="L659" s="10">
        <v>12</v>
      </c>
      <c r="M659" s="10">
        <v>1</v>
      </c>
      <c r="N659" s="9">
        <v>34565</v>
      </c>
      <c r="O659" s="9">
        <f t="shared" si="4"/>
        <v>3000</v>
      </c>
      <c r="P659" s="9">
        <f t="shared" si="5"/>
        <v>2400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spans="1:42" ht="13.2" x14ac:dyDescent="0.25">
      <c r="A660" s="3" t="s">
        <v>417</v>
      </c>
      <c r="B660" s="7">
        <v>44317</v>
      </c>
      <c r="C660" s="3" t="s">
        <v>36</v>
      </c>
      <c r="D660" s="8">
        <v>100.19276685246285</v>
      </c>
      <c r="E660" s="8">
        <v>60</v>
      </c>
      <c r="F660" s="9">
        <v>335428.52620635286</v>
      </c>
      <c r="G660" s="10">
        <v>-1</v>
      </c>
      <c r="H660" s="9">
        <v>330000</v>
      </c>
      <c r="I660" s="10">
        <v>1</v>
      </c>
      <c r="J660" s="9">
        <v>330000</v>
      </c>
      <c r="K660" s="9">
        <v>21090.916845529715</v>
      </c>
      <c r="L660" s="10">
        <v>6</v>
      </c>
      <c r="M660" s="10">
        <v>0</v>
      </c>
      <c r="N660" s="9">
        <v>0</v>
      </c>
      <c r="O660" s="9">
        <f t="shared" si="4"/>
        <v>8250</v>
      </c>
      <c r="P660" s="9">
        <f t="shared" si="5"/>
        <v>6600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spans="1:42" ht="13.2" x14ac:dyDescent="0.25">
      <c r="A661" s="3" t="s">
        <v>304</v>
      </c>
      <c r="B661" s="7">
        <v>44317</v>
      </c>
      <c r="C661" s="3" t="s">
        <v>39</v>
      </c>
      <c r="D661" s="8">
        <v>17.83043977017627</v>
      </c>
      <c r="E661" s="8">
        <v>327.87923754565912</v>
      </c>
      <c r="F661" s="9">
        <v>83717.509992617051</v>
      </c>
      <c r="G661" s="10">
        <v>0</v>
      </c>
      <c r="H661" s="9">
        <v>80000</v>
      </c>
      <c r="I661" s="10">
        <v>1</v>
      </c>
      <c r="J661" s="9">
        <v>80000</v>
      </c>
      <c r="K661" s="9">
        <v>6495.2742143933383</v>
      </c>
      <c r="L661" s="10">
        <v>9</v>
      </c>
      <c r="M661" s="10">
        <v>0</v>
      </c>
      <c r="N661" s="9">
        <v>0</v>
      </c>
      <c r="O661" s="9">
        <f t="shared" si="4"/>
        <v>2000</v>
      </c>
      <c r="P661" s="9">
        <f t="shared" si="5"/>
        <v>1600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spans="1:42" ht="13.2" x14ac:dyDescent="0.25">
      <c r="A662" s="3" t="s">
        <v>362</v>
      </c>
      <c r="B662" s="7">
        <v>44317</v>
      </c>
      <c r="C662" s="3" t="s">
        <v>36</v>
      </c>
      <c r="D662" s="8">
        <v>9.3461085170375142</v>
      </c>
      <c r="E662" s="8">
        <v>208.77009946212712</v>
      </c>
      <c r="F662" s="9">
        <v>135359.45508772234</v>
      </c>
      <c r="G662" s="10">
        <v>1</v>
      </c>
      <c r="H662" s="9">
        <v>140000</v>
      </c>
      <c r="I662" s="10">
        <v>0</v>
      </c>
      <c r="J662" s="9">
        <v>0</v>
      </c>
      <c r="K662" s="9">
        <v>0</v>
      </c>
      <c r="L662" s="10">
        <v>0</v>
      </c>
      <c r="M662" s="10">
        <v>0</v>
      </c>
      <c r="N662" s="9">
        <v>0</v>
      </c>
      <c r="O662" s="9">
        <f t="shared" si="4"/>
        <v>0</v>
      </c>
      <c r="P662" s="9">
        <f t="shared" si="5"/>
        <v>0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spans="1:42" ht="13.2" x14ac:dyDescent="0.25">
      <c r="A663" s="3" t="s">
        <v>280</v>
      </c>
      <c r="B663" s="7">
        <v>44317</v>
      </c>
      <c r="C663" s="3" t="s">
        <v>39</v>
      </c>
      <c r="D663" s="8">
        <v>55.328451756131528</v>
      </c>
      <c r="E663" s="8">
        <v>60</v>
      </c>
      <c r="F663" s="9">
        <v>402792.79261968948</v>
      </c>
      <c r="G663" s="10">
        <v>-1</v>
      </c>
      <c r="H663" s="9">
        <v>391000</v>
      </c>
      <c r="I663" s="10">
        <v>1</v>
      </c>
      <c r="J663" s="9">
        <v>391000</v>
      </c>
      <c r="K663" s="9">
        <v>61706.934594771192</v>
      </c>
      <c r="L663" s="10">
        <v>12</v>
      </c>
      <c r="M663" s="10">
        <v>0</v>
      </c>
      <c r="N663" s="9">
        <v>0</v>
      </c>
      <c r="O663" s="9">
        <f t="shared" si="4"/>
        <v>9775</v>
      </c>
      <c r="P663" s="9">
        <f t="shared" si="5"/>
        <v>7820</v>
      </c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spans="1:42" ht="13.2" x14ac:dyDescent="0.25">
      <c r="A664" s="3" t="s">
        <v>418</v>
      </c>
      <c r="B664" s="7">
        <v>44348</v>
      </c>
      <c r="C664" s="3" t="s">
        <v>36</v>
      </c>
      <c r="D664" s="8">
        <v>90.471309116403276</v>
      </c>
      <c r="E664" s="8">
        <v>354.51223660348188</v>
      </c>
      <c r="F664" s="9">
        <v>223592.37202249098</v>
      </c>
      <c r="G664" s="10">
        <v>1</v>
      </c>
      <c r="H664" s="9">
        <v>150000</v>
      </c>
      <c r="I664" s="10">
        <v>0</v>
      </c>
      <c r="J664" s="9">
        <v>0</v>
      </c>
      <c r="K664" s="9">
        <v>0</v>
      </c>
      <c r="L664" s="10">
        <v>0</v>
      </c>
      <c r="M664" s="10">
        <v>0</v>
      </c>
      <c r="N664" s="9">
        <v>0</v>
      </c>
      <c r="O664" s="9">
        <f t="shared" si="4"/>
        <v>0</v>
      </c>
      <c r="P664" s="9">
        <f t="shared" si="5"/>
        <v>0</v>
      </c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spans="1:42" ht="13.2" x14ac:dyDescent="0.25">
      <c r="A665" s="3" t="s">
        <v>402</v>
      </c>
      <c r="B665" s="7">
        <v>44348</v>
      </c>
      <c r="C665" s="3" t="s">
        <v>36</v>
      </c>
      <c r="D665" s="8">
        <v>21.98712798428512</v>
      </c>
      <c r="E665" s="8">
        <v>273.69401215346682</v>
      </c>
      <c r="F665" s="9">
        <v>940.11009542204806</v>
      </c>
      <c r="G665" s="10">
        <v>1</v>
      </c>
      <c r="H665" s="9">
        <v>612.24489795918373</v>
      </c>
      <c r="I665" s="10">
        <v>0</v>
      </c>
      <c r="J665" s="9">
        <v>0</v>
      </c>
      <c r="K665" s="9">
        <v>0</v>
      </c>
      <c r="L665" s="10">
        <v>0</v>
      </c>
      <c r="M665" s="10">
        <v>0</v>
      </c>
      <c r="N665" s="9">
        <v>0</v>
      </c>
      <c r="O665" s="9">
        <f t="shared" si="4"/>
        <v>0</v>
      </c>
      <c r="P665" s="9">
        <f t="shared" si="5"/>
        <v>0</v>
      </c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spans="1:42" ht="13.2" x14ac:dyDescent="0.25">
      <c r="A666" s="3" t="s">
        <v>278</v>
      </c>
      <c r="B666" s="7">
        <v>44348</v>
      </c>
      <c r="C666" s="3" t="s">
        <v>36</v>
      </c>
      <c r="D666" s="8">
        <v>3</v>
      </c>
      <c r="E666" s="8">
        <v>341.89991557452515</v>
      </c>
      <c r="F666" s="9">
        <v>189613.5895438428</v>
      </c>
      <c r="G666" s="10">
        <v>-1</v>
      </c>
      <c r="H666" s="9">
        <v>130000</v>
      </c>
      <c r="I666" s="10">
        <v>1</v>
      </c>
      <c r="J666" s="9">
        <v>130000</v>
      </c>
      <c r="K666" s="9">
        <v>8411.142423297315</v>
      </c>
      <c r="L666" s="10">
        <v>6</v>
      </c>
      <c r="M666" s="10">
        <v>0</v>
      </c>
      <c r="N666" s="9">
        <v>0</v>
      </c>
      <c r="O666" s="9">
        <f t="shared" si="4"/>
        <v>3250</v>
      </c>
      <c r="P666" s="9">
        <f t="shared" si="5"/>
        <v>2600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spans="1:42" ht="13.2" x14ac:dyDescent="0.25">
      <c r="A667" s="3" t="s">
        <v>83</v>
      </c>
      <c r="B667" s="7">
        <v>44348</v>
      </c>
      <c r="C667" s="3" t="s">
        <v>36</v>
      </c>
      <c r="D667" s="8">
        <v>15.231747849250691</v>
      </c>
      <c r="E667" s="8">
        <v>170.88457704467814</v>
      </c>
      <c r="F667" s="9">
        <v>175112.09221531398</v>
      </c>
      <c r="G667" s="10">
        <v>0</v>
      </c>
      <c r="H667" s="9">
        <v>330000</v>
      </c>
      <c r="I667" s="10">
        <v>0</v>
      </c>
      <c r="J667" s="9">
        <v>0</v>
      </c>
      <c r="K667" s="9">
        <v>0</v>
      </c>
      <c r="L667" s="10">
        <v>0</v>
      </c>
      <c r="M667" s="10">
        <v>0</v>
      </c>
      <c r="N667" s="9">
        <v>0</v>
      </c>
      <c r="O667" s="9">
        <f t="shared" si="4"/>
        <v>0</v>
      </c>
      <c r="P667" s="9">
        <f t="shared" si="5"/>
        <v>0</v>
      </c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spans="1:42" ht="13.2" x14ac:dyDescent="0.25">
      <c r="A668" s="3" t="s">
        <v>323</v>
      </c>
      <c r="B668" s="7">
        <v>44348</v>
      </c>
      <c r="C668" s="3" t="s">
        <v>36</v>
      </c>
      <c r="D668" s="8">
        <v>23.873986857707528</v>
      </c>
      <c r="E668" s="8">
        <v>128.9822437060603</v>
      </c>
      <c r="F668" s="9">
        <v>54485.237438319651</v>
      </c>
      <c r="G668" s="10">
        <v>1</v>
      </c>
      <c r="H668" s="9">
        <v>70000</v>
      </c>
      <c r="I668" s="10">
        <v>0</v>
      </c>
      <c r="J668" s="9">
        <v>0</v>
      </c>
      <c r="K668" s="9">
        <v>0</v>
      </c>
      <c r="L668" s="10">
        <v>0</v>
      </c>
      <c r="M668" s="10">
        <v>0</v>
      </c>
      <c r="N668" s="9">
        <v>0</v>
      </c>
      <c r="O668" s="9">
        <f t="shared" si="4"/>
        <v>0</v>
      </c>
      <c r="P668" s="9">
        <f t="shared" si="5"/>
        <v>0</v>
      </c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spans="1:42" ht="13.2" x14ac:dyDescent="0.25">
      <c r="A669" s="3" t="s">
        <v>419</v>
      </c>
      <c r="B669" s="7">
        <v>44348</v>
      </c>
      <c r="C669" s="3" t="s">
        <v>39</v>
      </c>
      <c r="D669" s="8">
        <v>118.71193973072224</v>
      </c>
      <c r="E669" s="8">
        <v>60</v>
      </c>
      <c r="F669" s="9">
        <v>110848.29159366258</v>
      </c>
      <c r="G669" s="10">
        <v>1</v>
      </c>
      <c r="H669" s="9">
        <v>90000</v>
      </c>
      <c r="I669" s="10">
        <v>1</v>
      </c>
      <c r="J669" s="9">
        <v>90000</v>
      </c>
      <c r="K669" s="9">
        <v>5688.2320466138717</v>
      </c>
      <c r="L669" s="10">
        <v>6</v>
      </c>
      <c r="M669" s="10">
        <v>0</v>
      </c>
      <c r="N669" s="9">
        <v>0</v>
      </c>
      <c r="O669" s="9">
        <f t="shared" si="4"/>
        <v>2250</v>
      </c>
      <c r="P669" s="9">
        <f t="shared" si="5"/>
        <v>1800</v>
      </c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spans="1:42" ht="13.2" x14ac:dyDescent="0.25">
      <c r="A670" s="3" t="s">
        <v>420</v>
      </c>
      <c r="B670" s="7">
        <v>44348</v>
      </c>
      <c r="C670" s="3" t="s">
        <v>36</v>
      </c>
      <c r="D670" s="8">
        <v>13.51351667561341</v>
      </c>
      <c r="E670" s="8">
        <v>151.22900291769588</v>
      </c>
      <c r="F670" s="9">
        <v>521793.9779876605</v>
      </c>
      <c r="G670" s="10">
        <v>0</v>
      </c>
      <c r="H670" s="9">
        <v>550000</v>
      </c>
      <c r="I670" s="10">
        <v>1</v>
      </c>
      <c r="J670" s="9">
        <v>550000</v>
      </c>
      <c r="K670" s="9">
        <v>75112.696697879641</v>
      </c>
      <c r="L670" s="10">
        <v>12</v>
      </c>
      <c r="M670" s="10">
        <v>0</v>
      </c>
      <c r="N670" s="9">
        <v>0</v>
      </c>
      <c r="O670" s="9">
        <f t="shared" si="4"/>
        <v>13750</v>
      </c>
      <c r="P670" s="9">
        <f t="shared" si="5"/>
        <v>11000</v>
      </c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spans="1:42" ht="13.2" x14ac:dyDescent="0.25">
      <c r="A671" s="3" t="s">
        <v>102</v>
      </c>
      <c r="B671" s="7">
        <v>44348</v>
      </c>
      <c r="C671" s="3" t="s">
        <v>36</v>
      </c>
      <c r="D671" s="8">
        <v>38.125620039093981</v>
      </c>
      <c r="E671" s="8">
        <v>204.25634145620586</v>
      </c>
      <c r="F671" s="9">
        <v>253176.90450936632</v>
      </c>
      <c r="G671" s="10">
        <v>0</v>
      </c>
      <c r="H671" s="9">
        <v>210000</v>
      </c>
      <c r="I671" s="10">
        <v>0</v>
      </c>
      <c r="J671" s="9">
        <v>0</v>
      </c>
      <c r="K671" s="9">
        <v>0</v>
      </c>
      <c r="L671" s="10">
        <v>0</v>
      </c>
      <c r="M671" s="10">
        <v>0</v>
      </c>
      <c r="N671" s="9">
        <v>0</v>
      </c>
      <c r="O671" s="9">
        <f t="shared" si="4"/>
        <v>0</v>
      </c>
      <c r="P671" s="9">
        <f t="shared" si="5"/>
        <v>0</v>
      </c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spans="1:42" ht="13.2" x14ac:dyDescent="0.25">
      <c r="A672" s="3" t="s">
        <v>421</v>
      </c>
      <c r="B672" s="7">
        <v>44348</v>
      </c>
      <c r="C672" s="3" t="s">
        <v>36</v>
      </c>
      <c r="D672" s="8">
        <v>18.198686987959739</v>
      </c>
      <c r="E672" s="8">
        <v>310.40896935760037</v>
      </c>
      <c r="F672" s="9">
        <v>393955.43326102186</v>
      </c>
      <c r="G672" s="10">
        <v>0</v>
      </c>
      <c r="H672" s="9">
        <v>270000</v>
      </c>
      <c r="I672" s="10">
        <v>1</v>
      </c>
      <c r="J672" s="9">
        <v>270000</v>
      </c>
      <c r="K672" s="9">
        <v>26808.410501487368</v>
      </c>
      <c r="L672" s="10">
        <v>6</v>
      </c>
      <c r="M672" s="10">
        <v>0</v>
      </c>
      <c r="N672" s="9">
        <v>0</v>
      </c>
      <c r="O672" s="9">
        <f t="shared" si="4"/>
        <v>6750</v>
      </c>
      <c r="P672" s="9">
        <f t="shared" si="5"/>
        <v>5400</v>
      </c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spans="1:42" ht="13.2" x14ac:dyDescent="0.25">
      <c r="A673" s="3" t="s">
        <v>422</v>
      </c>
      <c r="B673" s="7">
        <v>44348</v>
      </c>
      <c r="C673" s="3" t="s">
        <v>36</v>
      </c>
      <c r="D673" s="8">
        <v>34.263544592517377</v>
      </c>
      <c r="E673" s="8">
        <v>60</v>
      </c>
      <c r="F673" s="9">
        <v>147694.87192838281</v>
      </c>
      <c r="G673" s="10">
        <v>-1</v>
      </c>
      <c r="H673" s="9">
        <v>200000</v>
      </c>
      <c r="I673" s="10">
        <v>0</v>
      </c>
      <c r="J673" s="9">
        <v>0</v>
      </c>
      <c r="K673" s="9">
        <v>0</v>
      </c>
      <c r="L673" s="10">
        <v>0</v>
      </c>
      <c r="M673" s="10">
        <v>0</v>
      </c>
      <c r="N673" s="9">
        <v>0</v>
      </c>
      <c r="O673" s="9">
        <f t="shared" si="4"/>
        <v>0</v>
      </c>
      <c r="P673" s="9">
        <f t="shared" si="5"/>
        <v>0</v>
      </c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spans="1:42" ht="13.2" x14ac:dyDescent="0.25">
      <c r="A674" s="3" t="s">
        <v>423</v>
      </c>
      <c r="B674" s="7">
        <v>44348</v>
      </c>
      <c r="C674" s="3" t="s">
        <v>63</v>
      </c>
      <c r="D674" s="8">
        <v>3.1707158195256469</v>
      </c>
      <c r="E674" s="8">
        <v>263.68478354096021</v>
      </c>
      <c r="F674" s="9">
        <v>37587.047342508347</v>
      </c>
      <c r="G674" s="10">
        <v>1</v>
      </c>
      <c r="H674" s="9">
        <v>50000</v>
      </c>
      <c r="I674" s="10">
        <v>1</v>
      </c>
      <c r="J674" s="9">
        <v>50000</v>
      </c>
      <c r="K674" s="9">
        <v>9775.0059643016266</v>
      </c>
      <c r="L674" s="10">
        <v>10</v>
      </c>
      <c r="M674" s="10">
        <v>0</v>
      </c>
      <c r="N674" s="9">
        <v>0</v>
      </c>
      <c r="O674" s="9">
        <f t="shared" si="4"/>
        <v>1250</v>
      </c>
      <c r="P674" s="9">
        <f t="shared" si="5"/>
        <v>1000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spans="1:42" ht="13.2" x14ac:dyDescent="0.25">
      <c r="A675" s="3" t="s">
        <v>407</v>
      </c>
      <c r="B675" s="7">
        <v>44348</v>
      </c>
      <c r="C675" s="3" t="s">
        <v>36</v>
      </c>
      <c r="D675" s="8">
        <v>3.7724686916581796</v>
      </c>
      <c r="E675" s="8">
        <v>116.7012982316331</v>
      </c>
      <c r="F675" s="9">
        <v>122261.56506661455</v>
      </c>
      <c r="G675" s="10">
        <v>-1</v>
      </c>
      <c r="H675" s="9">
        <v>180000</v>
      </c>
      <c r="I675" s="10">
        <v>1</v>
      </c>
      <c r="J675" s="9">
        <v>180000</v>
      </c>
      <c r="K675" s="9">
        <v>5967.1507455520659</v>
      </c>
      <c r="L675" s="10">
        <v>6</v>
      </c>
      <c r="M675" s="10">
        <v>0</v>
      </c>
      <c r="N675" s="9">
        <v>0</v>
      </c>
      <c r="O675" s="9">
        <f t="shared" si="4"/>
        <v>4500</v>
      </c>
      <c r="P675" s="9">
        <f t="shared" si="5"/>
        <v>3600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spans="1:42" ht="13.2" x14ac:dyDescent="0.25">
      <c r="A676" s="3" t="s">
        <v>349</v>
      </c>
      <c r="B676" s="7">
        <v>44348</v>
      </c>
      <c r="C676" s="3" t="s">
        <v>36</v>
      </c>
      <c r="D676" s="8">
        <v>6.7687339445337411</v>
      </c>
      <c r="E676" s="8">
        <v>244.80324101822765</v>
      </c>
      <c r="F676" s="9">
        <v>6730.3497917131572</v>
      </c>
      <c r="G676" s="10">
        <v>0</v>
      </c>
      <c r="H676" s="9">
        <v>10000</v>
      </c>
      <c r="I676" s="10">
        <v>0</v>
      </c>
      <c r="J676" s="9">
        <v>0</v>
      </c>
      <c r="K676" s="9">
        <v>0</v>
      </c>
      <c r="L676" s="10">
        <v>0</v>
      </c>
      <c r="M676" s="10">
        <v>0</v>
      </c>
      <c r="N676" s="9">
        <v>0</v>
      </c>
      <c r="O676" s="9">
        <f t="shared" si="4"/>
        <v>0</v>
      </c>
      <c r="P676" s="9">
        <f t="shared" si="5"/>
        <v>0</v>
      </c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spans="1:42" ht="13.2" x14ac:dyDescent="0.25">
      <c r="A677" s="3" t="s">
        <v>424</v>
      </c>
      <c r="B677" s="7">
        <v>44348</v>
      </c>
      <c r="C677" s="3" t="s">
        <v>36</v>
      </c>
      <c r="D677" s="8">
        <v>22.846718535907325</v>
      </c>
      <c r="E677" s="8">
        <v>231.00871370004492</v>
      </c>
      <c r="F677" s="9">
        <v>73968.778165300129</v>
      </c>
      <c r="G677" s="10">
        <v>0</v>
      </c>
      <c r="H677" s="9">
        <v>50000</v>
      </c>
      <c r="I677" s="10">
        <v>0</v>
      </c>
      <c r="J677" s="9">
        <v>0</v>
      </c>
      <c r="K677" s="9">
        <v>0</v>
      </c>
      <c r="L677" s="10">
        <v>0</v>
      </c>
      <c r="M677" s="10">
        <v>0</v>
      </c>
      <c r="N677" s="9">
        <v>0</v>
      </c>
      <c r="O677" s="9">
        <f t="shared" si="4"/>
        <v>0</v>
      </c>
      <c r="P677" s="9">
        <f t="shared" si="5"/>
        <v>0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spans="1:42" ht="13.2" x14ac:dyDescent="0.25">
      <c r="A678" s="3" t="s">
        <v>425</v>
      </c>
      <c r="B678" s="7">
        <v>44348</v>
      </c>
      <c r="C678" s="3" t="s">
        <v>39</v>
      </c>
      <c r="D678" s="8">
        <v>69.50941242469392</v>
      </c>
      <c r="E678" s="8">
        <v>93.646408901318551</v>
      </c>
      <c r="F678" s="9">
        <v>80194.62165577682</v>
      </c>
      <c r="G678" s="10">
        <v>-1</v>
      </c>
      <c r="H678" s="9">
        <v>100000</v>
      </c>
      <c r="I678" s="10">
        <v>0</v>
      </c>
      <c r="J678" s="9">
        <v>0</v>
      </c>
      <c r="K678" s="9">
        <v>0</v>
      </c>
      <c r="L678" s="10">
        <v>0</v>
      </c>
      <c r="M678" s="10">
        <v>0</v>
      </c>
      <c r="N678" s="9">
        <v>0</v>
      </c>
      <c r="O678" s="9">
        <f t="shared" si="4"/>
        <v>0</v>
      </c>
      <c r="P678" s="9">
        <f t="shared" si="5"/>
        <v>0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spans="1:42" ht="13.2" x14ac:dyDescent="0.25">
      <c r="A679" s="3" t="s">
        <v>426</v>
      </c>
      <c r="B679" s="7">
        <v>44348</v>
      </c>
      <c r="C679" s="3" t="s">
        <v>36</v>
      </c>
      <c r="D679" s="8">
        <v>29.111127429450235</v>
      </c>
      <c r="E679" s="8">
        <v>60</v>
      </c>
      <c r="F679" s="9">
        <v>93175.065480178848</v>
      </c>
      <c r="G679" s="10">
        <v>0</v>
      </c>
      <c r="H679" s="9">
        <v>150000</v>
      </c>
      <c r="I679" s="10">
        <v>0</v>
      </c>
      <c r="J679" s="9">
        <v>0</v>
      </c>
      <c r="K679" s="9">
        <v>0</v>
      </c>
      <c r="L679" s="10">
        <v>0</v>
      </c>
      <c r="M679" s="10">
        <v>0</v>
      </c>
      <c r="N679" s="9">
        <v>0</v>
      </c>
      <c r="O679" s="9">
        <f t="shared" si="4"/>
        <v>0</v>
      </c>
      <c r="P679" s="9">
        <f t="shared" si="5"/>
        <v>0</v>
      </c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spans="1:42" ht="13.2" x14ac:dyDescent="0.25">
      <c r="A680" s="3" t="s">
        <v>403</v>
      </c>
      <c r="B680" s="7">
        <v>44348</v>
      </c>
      <c r="C680" s="3" t="s">
        <v>39</v>
      </c>
      <c r="D680" s="8">
        <v>3</v>
      </c>
      <c r="E680" s="8">
        <v>222.86692192640265</v>
      </c>
      <c r="F680" s="9">
        <v>1506.8185508532474</v>
      </c>
      <c r="G680" s="10">
        <v>-1</v>
      </c>
      <c r="H680" s="9">
        <v>1818.1818181818182</v>
      </c>
      <c r="I680" s="10">
        <v>0</v>
      </c>
      <c r="J680" s="9">
        <v>0</v>
      </c>
      <c r="K680" s="9">
        <v>0</v>
      </c>
      <c r="L680" s="10">
        <v>0</v>
      </c>
      <c r="M680" s="10">
        <v>0</v>
      </c>
      <c r="N680" s="9">
        <v>0</v>
      </c>
      <c r="O680" s="9">
        <f t="shared" si="4"/>
        <v>0</v>
      </c>
      <c r="P680" s="9">
        <f t="shared" si="5"/>
        <v>0</v>
      </c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spans="1:42" ht="13.2" x14ac:dyDescent="0.25">
      <c r="A681" s="3" t="s">
        <v>195</v>
      </c>
      <c r="B681" s="7">
        <v>44348</v>
      </c>
      <c r="C681" s="3" t="s">
        <v>36</v>
      </c>
      <c r="D681" s="8">
        <v>70.33382622611893</v>
      </c>
      <c r="E681" s="8">
        <v>60</v>
      </c>
      <c r="F681" s="9">
        <v>787126.72373129008</v>
      </c>
      <c r="G681" s="10">
        <v>0</v>
      </c>
      <c r="H681" s="9">
        <v>1290000</v>
      </c>
      <c r="I681" s="10">
        <v>1</v>
      </c>
      <c r="J681" s="9">
        <v>1290000</v>
      </c>
      <c r="K681" s="9">
        <v>226488.91494484706</v>
      </c>
      <c r="L681" s="10">
        <v>7</v>
      </c>
      <c r="M681" s="10">
        <v>0</v>
      </c>
      <c r="N681" s="9">
        <v>0</v>
      </c>
      <c r="O681" s="9">
        <f t="shared" si="4"/>
        <v>32250</v>
      </c>
      <c r="P681" s="9">
        <f t="shared" si="5"/>
        <v>25800</v>
      </c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spans="1:42" ht="13.2" x14ac:dyDescent="0.25">
      <c r="A682" s="3" t="s">
        <v>319</v>
      </c>
      <c r="B682" s="7">
        <v>44348</v>
      </c>
      <c r="C682" s="3" t="s">
        <v>36</v>
      </c>
      <c r="D682" s="8">
        <v>3</v>
      </c>
      <c r="E682" s="8">
        <v>141.91532428436958</v>
      </c>
      <c r="F682" s="9">
        <v>12601.589743873814</v>
      </c>
      <c r="G682" s="10">
        <v>1</v>
      </c>
      <c r="H682" s="9">
        <v>16666.666666666668</v>
      </c>
      <c r="I682" s="10">
        <v>0</v>
      </c>
      <c r="J682" s="9">
        <v>0</v>
      </c>
      <c r="K682" s="9">
        <v>0</v>
      </c>
      <c r="L682" s="10">
        <v>0</v>
      </c>
      <c r="M682" s="10">
        <v>0</v>
      </c>
      <c r="N682" s="9">
        <v>0</v>
      </c>
      <c r="O682" s="9">
        <f t="shared" si="4"/>
        <v>0</v>
      </c>
      <c r="P682" s="9">
        <f t="shared" si="5"/>
        <v>0</v>
      </c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spans="1:42" ht="13.2" x14ac:dyDescent="0.25">
      <c r="A683" s="3" t="s">
        <v>427</v>
      </c>
      <c r="B683" s="7">
        <v>44348</v>
      </c>
      <c r="C683" s="3" t="s">
        <v>36</v>
      </c>
      <c r="D683" s="8">
        <v>26.100869519157122</v>
      </c>
      <c r="E683" s="8">
        <v>245.22663158856548</v>
      </c>
      <c r="F683" s="9">
        <v>1025125.5886713027</v>
      </c>
      <c r="G683" s="10">
        <v>0</v>
      </c>
      <c r="H683" s="9">
        <v>660000</v>
      </c>
      <c r="I683" s="10">
        <v>1</v>
      </c>
      <c r="J683" s="9">
        <v>660000</v>
      </c>
      <c r="K683" s="9">
        <v>189585.43866171283</v>
      </c>
      <c r="L683" s="10">
        <v>12</v>
      </c>
      <c r="M683" s="10">
        <v>0</v>
      </c>
      <c r="N683" s="9">
        <v>0</v>
      </c>
      <c r="O683" s="9">
        <f t="shared" si="4"/>
        <v>16500</v>
      </c>
      <c r="P683" s="9">
        <f t="shared" si="5"/>
        <v>13200</v>
      </c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spans="1:42" ht="13.2" x14ac:dyDescent="0.25">
      <c r="A684" s="3" t="s">
        <v>388</v>
      </c>
      <c r="B684" s="7">
        <v>44348</v>
      </c>
      <c r="C684" s="3" t="s">
        <v>36</v>
      </c>
      <c r="D684" s="8">
        <v>39.46174389568688</v>
      </c>
      <c r="E684" s="8">
        <v>60</v>
      </c>
      <c r="F684" s="9">
        <v>8932.8517277537539</v>
      </c>
      <c r="G684" s="10">
        <v>1</v>
      </c>
      <c r="H684" s="9">
        <v>12244.897959183674</v>
      </c>
      <c r="I684" s="10">
        <v>1</v>
      </c>
      <c r="J684" s="9">
        <v>12244.897959183674</v>
      </c>
      <c r="K684" s="9">
        <v>1112.7745948099519</v>
      </c>
      <c r="L684" s="10">
        <v>6</v>
      </c>
      <c r="M684" s="10">
        <v>0</v>
      </c>
      <c r="N684" s="9">
        <v>0</v>
      </c>
      <c r="O684" s="9">
        <f t="shared" si="4"/>
        <v>306.12244897959187</v>
      </c>
      <c r="P684" s="9">
        <f t="shared" si="5"/>
        <v>244.89795918367349</v>
      </c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spans="1:42" ht="13.2" x14ac:dyDescent="0.25">
      <c r="A685" s="3" t="s">
        <v>428</v>
      </c>
      <c r="B685" s="7">
        <v>44348</v>
      </c>
      <c r="C685" s="3" t="s">
        <v>39</v>
      </c>
      <c r="D685" s="8">
        <v>59.875042726820944</v>
      </c>
      <c r="E685" s="8">
        <v>60</v>
      </c>
      <c r="F685" s="9">
        <v>466084.1864914397</v>
      </c>
      <c r="G685" s="10">
        <v>0</v>
      </c>
      <c r="H685" s="9">
        <v>470000</v>
      </c>
      <c r="I685" s="10">
        <v>1</v>
      </c>
      <c r="J685" s="9">
        <v>470000</v>
      </c>
      <c r="K685" s="9">
        <v>33199.309927795846</v>
      </c>
      <c r="L685" s="10">
        <v>6</v>
      </c>
      <c r="M685" s="10">
        <v>0</v>
      </c>
      <c r="N685" s="9">
        <v>0</v>
      </c>
      <c r="O685" s="9">
        <f t="shared" si="4"/>
        <v>11750</v>
      </c>
      <c r="P685" s="9">
        <f t="shared" si="5"/>
        <v>9400</v>
      </c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spans="1:42" ht="13.2" x14ac:dyDescent="0.25">
      <c r="A686" s="3" t="s">
        <v>355</v>
      </c>
      <c r="B686" s="7">
        <v>44348</v>
      </c>
      <c r="C686" s="3" t="s">
        <v>36</v>
      </c>
      <c r="D686" s="8">
        <v>30.039676981480689</v>
      </c>
      <c r="E686" s="8">
        <v>225.72343619093041</v>
      </c>
      <c r="F686" s="9">
        <v>973.75530156132061</v>
      </c>
      <c r="G686" s="10">
        <v>-1</v>
      </c>
      <c r="H686" s="9">
        <v>789.47368421052636</v>
      </c>
      <c r="I686" s="10">
        <v>1</v>
      </c>
      <c r="J686" s="9">
        <v>789.47368421052636</v>
      </c>
      <c r="K686" s="9">
        <v>69.083323938979035</v>
      </c>
      <c r="L686" s="10">
        <v>6</v>
      </c>
      <c r="M686" s="10">
        <v>0</v>
      </c>
      <c r="N686" s="9">
        <v>0</v>
      </c>
      <c r="O686" s="9">
        <f t="shared" si="4"/>
        <v>19.736842105263161</v>
      </c>
      <c r="P686" s="9">
        <f t="shared" si="5"/>
        <v>15.789473684210527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spans="1:42" ht="13.2" x14ac:dyDescent="0.25">
      <c r="A687" s="3" t="s">
        <v>398</v>
      </c>
      <c r="B687" s="7">
        <v>44348</v>
      </c>
      <c r="C687" s="3" t="s">
        <v>36</v>
      </c>
      <c r="D687" s="8">
        <v>33.904390907873861</v>
      </c>
      <c r="E687" s="8">
        <v>185.58949411052214</v>
      </c>
      <c r="F687" s="9">
        <v>271332.40307240863</v>
      </c>
      <c r="G687" s="10">
        <v>1</v>
      </c>
      <c r="H687" s="9">
        <v>370000</v>
      </c>
      <c r="I687" s="10">
        <v>1</v>
      </c>
      <c r="J687" s="9">
        <v>370000</v>
      </c>
      <c r="K687" s="9">
        <v>55104.563225727929</v>
      </c>
      <c r="L687" s="10">
        <v>8</v>
      </c>
      <c r="M687" s="10">
        <v>0</v>
      </c>
      <c r="N687" s="9">
        <v>0</v>
      </c>
      <c r="O687" s="9">
        <f t="shared" si="4"/>
        <v>9250</v>
      </c>
      <c r="P687" s="9">
        <f t="shared" si="5"/>
        <v>7400</v>
      </c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spans="1:42" ht="13.2" x14ac:dyDescent="0.25">
      <c r="A688" s="3" t="s">
        <v>160</v>
      </c>
      <c r="B688" s="7">
        <v>44348</v>
      </c>
      <c r="C688" s="3" t="s">
        <v>36</v>
      </c>
      <c r="D688" s="8">
        <v>30.799124418532891</v>
      </c>
      <c r="E688" s="8">
        <v>237.11500019072548</v>
      </c>
      <c r="F688" s="9">
        <v>104889.53993025349</v>
      </c>
      <c r="G688" s="10">
        <v>-1</v>
      </c>
      <c r="H688" s="9">
        <v>70000</v>
      </c>
      <c r="I688" s="10">
        <v>1</v>
      </c>
      <c r="J688" s="9">
        <v>70000</v>
      </c>
      <c r="K688" s="9">
        <v>5490.6598952465874</v>
      </c>
      <c r="L688" s="10">
        <v>6</v>
      </c>
      <c r="M688" s="10">
        <v>0</v>
      </c>
      <c r="N688" s="9">
        <v>0</v>
      </c>
      <c r="O688" s="9">
        <f t="shared" si="4"/>
        <v>1750</v>
      </c>
      <c r="P688" s="9">
        <f t="shared" si="5"/>
        <v>1400</v>
      </c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spans="1:42" ht="13.2" x14ac:dyDescent="0.25">
      <c r="A689" s="3" t="s">
        <v>429</v>
      </c>
      <c r="B689" s="7">
        <v>44348</v>
      </c>
      <c r="C689" s="3" t="s">
        <v>36</v>
      </c>
      <c r="D689" s="8">
        <v>34.793717413691098</v>
      </c>
      <c r="E689" s="8">
        <v>362.4528246566291</v>
      </c>
      <c r="F689" s="9">
        <v>1198124.0000797086</v>
      </c>
      <c r="G689" s="10">
        <v>-1</v>
      </c>
      <c r="H689" s="9">
        <v>940000</v>
      </c>
      <c r="I689" s="10">
        <v>0</v>
      </c>
      <c r="J689" s="9">
        <v>0</v>
      </c>
      <c r="K689" s="9">
        <v>0</v>
      </c>
      <c r="L689" s="10">
        <v>0</v>
      </c>
      <c r="M689" s="10">
        <v>0</v>
      </c>
      <c r="N689" s="9">
        <v>0</v>
      </c>
      <c r="O689" s="9">
        <f t="shared" si="4"/>
        <v>0</v>
      </c>
      <c r="P689" s="9">
        <f t="shared" si="5"/>
        <v>0</v>
      </c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spans="1:42" ht="13.2" x14ac:dyDescent="0.25">
      <c r="A690" s="3" t="s">
        <v>333</v>
      </c>
      <c r="B690" s="7">
        <v>44348</v>
      </c>
      <c r="C690" s="3" t="s">
        <v>36</v>
      </c>
      <c r="D690" s="8">
        <v>35.293838801721321</v>
      </c>
      <c r="E690" s="8">
        <v>95.432264441767614</v>
      </c>
      <c r="F690" s="9">
        <v>124167.39192492982</v>
      </c>
      <c r="G690" s="10">
        <v>1</v>
      </c>
      <c r="H690" s="9">
        <v>200000</v>
      </c>
      <c r="I690" s="10">
        <v>0</v>
      </c>
      <c r="J690" s="9">
        <v>0</v>
      </c>
      <c r="K690" s="9">
        <v>0</v>
      </c>
      <c r="L690" s="10">
        <v>0</v>
      </c>
      <c r="M690" s="10">
        <v>0</v>
      </c>
      <c r="N690" s="9">
        <v>0</v>
      </c>
      <c r="O690" s="9">
        <f t="shared" si="4"/>
        <v>0</v>
      </c>
      <c r="P690" s="9">
        <f t="shared" si="5"/>
        <v>0</v>
      </c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spans="1:42" ht="13.2" x14ac:dyDescent="0.25">
      <c r="A691" s="3" t="s">
        <v>262</v>
      </c>
      <c r="B691" s="7">
        <v>44348</v>
      </c>
      <c r="C691" s="3" t="s">
        <v>36</v>
      </c>
      <c r="D691" s="8">
        <v>139.94589771180861</v>
      </c>
      <c r="E691" s="8">
        <v>115.9360946287506</v>
      </c>
      <c r="F691" s="9">
        <v>57172.871454735003</v>
      </c>
      <c r="G691" s="10">
        <v>-1</v>
      </c>
      <c r="H691" s="9">
        <v>40000</v>
      </c>
      <c r="I691" s="10">
        <v>1</v>
      </c>
      <c r="J691" s="9">
        <v>40000</v>
      </c>
      <c r="K691" s="9">
        <v>5210.2117138422054</v>
      </c>
      <c r="L691" s="10">
        <v>6</v>
      </c>
      <c r="M691" s="10">
        <v>0</v>
      </c>
      <c r="N691" s="9">
        <v>0</v>
      </c>
      <c r="O691" s="9">
        <f t="shared" si="4"/>
        <v>1000</v>
      </c>
      <c r="P691" s="9">
        <f t="shared" si="5"/>
        <v>800</v>
      </c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spans="1:42" ht="13.2" x14ac:dyDescent="0.25">
      <c r="A692" s="3" t="s">
        <v>57</v>
      </c>
      <c r="B692" s="7">
        <v>44348</v>
      </c>
      <c r="C692" s="3" t="s">
        <v>36</v>
      </c>
      <c r="D692" s="8">
        <v>34.381715343004061</v>
      </c>
      <c r="E692" s="8">
        <v>60</v>
      </c>
      <c r="F692" s="9">
        <v>266689.04899658082</v>
      </c>
      <c r="G692" s="10">
        <v>1</v>
      </c>
      <c r="H692" s="9">
        <v>410000</v>
      </c>
      <c r="I692" s="10">
        <v>1</v>
      </c>
      <c r="J692" s="9">
        <v>410000</v>
      </c>
      <c r="K692" s="9">
        <v>84600.380949252431</v>
      </c>
      <c r="L692" s="10">
        <v>13</v>
      </c>
      <c r="M692" s="10">
        <v>1</v>
      </c>
      <c r="N692" s="9">
        <v>182565.78825950841</v>
      </c>
      <c r="O692" s="9">
        <f t="shared" si="4"/>
        <v>10250</v>
      </c>
      <c r="P692" s="9">
        <f t="shared" si="5"/>
        <v>8200</v>
      </c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spans="1:42" ht="13.2" x14ac:dyDescent="0.25">
      <c r="A693" s="3" t="s">
        <v>430</v>
      </c>
      <c r="B693" s="7">
        <v>44348</v>
      </c>
      <c r="C693" s="3" t="s">
        <v>36</v>
      </c>
      <c r="D693" s="8">
        <v>3</v>
      </c>
      <c r="E693" s="8">
        <v>204.86013298321967</v>
      </c>
      <c r="F693" s="9">
        <v>35348.106812969367</v>
      </c>
      <c r="G693" s="10">
        <v>-1</v>
      </c>
      <c r="H693" s="9">
        <v>30000</v>
      </c>
      <c r="I693" s="10">
        <v>0</v>
      </c>
      <c r="J693" s="9">
        <v>0</v>
      </c>
      <c r="K693" s="9">
        <v>0</v>
      </c>
      <c r="L693" s="10">
        <v>0</v>
      </c>
      <c r="M693" s="10">
        <v>0</v>
      </c>
      <c r="N693" s="9">
        <v>0</v>
      </c>
      <c r="O693" s="9">
        <f t="shared" si="4"/>
        <v>0</v>
      </c>
      <c r="P693" s="9">
        <f t="shared" si="5"/>
        <v>0</v>
      </c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spans="1:42" ht="13.2" x14ac:dyDescent="0.25">
      <c r="A694" s="3" t="s">
        <v>431</v>
      </c>
      <c r="B694" s="7">
        <v>44348</v>
      </c>
      <c r="C694" s="3" t="s">
        <v>36</v>
      </c>
      <c r="D694" s="8">
        <v>34.170007572228371</v>
      </c>
      <c r="E694" s="8">
        <v>307.85504742298201</v>
      </c>
      <c r="F694" s="9">
        <v>222545.15731413374</v>
      </c>
      <c r="G694" s="10">
        <v>1</v>
      </c>
      <c r="H694" s="9">
        <v>210000</v>
      </c>
      <c r="I694" s="10">
        <v>1</v>
      </c>
      <c r="J694" s="9">
        <v>210000</v>
      </c>
      <c r="K694" s="9">
        <v>16271.12236850752</v>
      </c>
      <c r="L694" s="10">
        <v>6</v>
      </c>
      <c r="M694" s="10">
        <v>0</v>
      </c>
      <c r="N694" s="9">
        <v>0</v>
      </c>
      <c r="O694" s="9">
        <f t="shared" si="4"/>
        <v>5250</v>
      </c>
      <c r="P694" s="9">
        <f t="shared" si="5"/>
        <v>4200</v>
      </c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spans="1:42" ht="13.2" x14ac:dyDescent="0.25">
      <c r="A695" s="3" t="s">
        <v>159</v>
      </c>
      <c r="B695" s="7">
        <v>44348</v>
      </c>
      <c r="C695" s="3" t="s">
        <v>36</v>
      </c>
      <c r="D695" s="8">
        <v>3</v>
      </c>
      <c r="E695" s="8">
        <v>96.652178686048615</v>
      </c>
      <c r="F695" s="9">
        <v>19957.630971758361</v>
      </c>
      <c r="G695" s="10">
        <v>-1</v>
      </c>
      <c r="H695" s="9">
        <v>30000</v>
      </c>
      <c r="I695" s="10">
        <v>1</v>
      </c>
      <c r="J695" s="9">
        <v>30000</v>
      </c>
      <c r="K695" s="9">
        <v>1134.5313924364391</v>
      </c>
      <c r="L695" s="10">
        <v>6</v>
      </c>
      <c r="M695" s="10">
        <v>0</v>
      </c>
      <c r="N695" s="9">
        <v>0</v>
      </c>
      <c r="O695" s="9">
        <f t="shared" si="4"/>
        <v>750</v>
      </c>
      <c r="P695" s="9">
        <f t="shared" si="5"/>
        <v>600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spans="1:42" ht="13.2" x14ac:dyDescent="0.25">
      <c r="A696" s="3" t="s">
        <v>432</v>
      </c>
      <c r="B696" s="7">
        <v>44348</v>
      </c>
      <c r="C696" s="3" t="s">
        <v>36</v>
      </c>
      <c r="D696" s="8">
        <v>86.321808529126997</v>
      </c>
      <c r="E696" s="8">
        <v>97.550848423613729</v>
      </c>
      <c r="F696" s="9">
        <v>20097.173445839213</v>
      </c>
      <c r="G696" s="10">
        <v>1</v>
      </c>
      <c r="H696" s="9">
        <v>30000</v>
      </c>
      <c r="I696" s="10">
        <v>0</v>
      </c>
      <c r="J696" s="9">
        <v>0</v>
      </c>
      <c r="K696" s="9">
        <v>0</v>
      </c>
      <c r="L696" s="10">
        <v>0</v>
      </c>
      <c r="M696" s="10">
        <v>0</v>
      </c>
      <c r="N696" s="9">
        <v>0</v>
      </c>
      <c r="O696" s="9">
        <f t="shared" si="4"/>
        <v>0</v>
      </c>
      <c r="P696" s="9">
        <f t="shared" si="5"/>
        <v>0</v>
      </c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spans="1:42" ht="13.2" x14ac:dyDescent="0.25">
      <c r="A697" s="3" t="s">
        <v>325</v>
      </c>
      <c r="B697" s="7">
        <v>44348</v>
      </c>
      <c r="C697" s="3" t="s">
        <v>39</v>
      </c>
      <c r="D697" s="8">
        <v>3</v>
      </c>
      <c r="E697" s="8">
        <v>253.98036296127088</v>
      </c>
      <c r="F697" s="9">
        <v>192299.6035621156</v>
      </c>
      <c r="G697" s="10">
        <v>-1</v>
      </c>
      <c r="H697" s="9">
        <v>120000</v>
      </c>
      <c r="I697" s="10">
        <v>0</v>
      </c>
      <c r="J697" s="9">
        <v>0</v>
      </c>
      <c r="K697" s="9">
        <v>0</v>
      </c>
      <c r="L697" s="10">
        <v>0</v>
      </c>
      <c r="M697" s="10">
        <v>0</v>
      </c>
      <c r="N697" s="9">
        <v>0</v>
      </c>
      <c r="O697" s="9">
        <f t="shared" si="4"/>
        <v>0</v>
      </c>
      <c r="P697" s="9">
        <f t="shared" si="5"/>
        <v>0</v>
      </c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spans="1:42" ht="13.2" x14ac:dyDescent="0.25">
      <c r="A698" s="3" t="s">
        <v>330</v>
      </c>
      <c r="B698" s="7">
        <v>44348</v>
      </c>
      <c r="C698" s="3" t="s">
        <v>36</v>
      </c>
      <c r="D698" s="8">
        <v>3</v>
      </c>
      <c r="E698" s="8">
        <v>206.86069114197099</v>
      </c>
      <c r="F698" s="9">
        <v>10976.602744383759</v>
      </c>
      <c r="G698" s="10">
        <v>-1</v>
      </c>
      <c r="H698" s="9">
        <v>20000</v>
      </c>
      <c r="I698" s="10">
        <v>0</v>
      </c>
      <c r="J698" s="9">
        <v>0</v>
      </c>
      <c r="K698" s="9">
        <v>0</v>
      </c>
      <c r="L698" s="10">
        <v>0</v>
      </c>
      <c r="M698" s="10">
        <v>0</v>
      </c>
      <c r="N698" s="9">
        <v>0</v>
      </c>
      <c r="O698" s="9">
        <f t="shared" si="4"/>
        <v>0</v>
      </c>
      <c r="P698" s="9">
        <f t="shared" si="5"/>
        <v>0</v>
      </c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spans="1:42" ht="13.2" x14ac:dyDescent="0.25">
      <c r="A699" s="3" t="s">
        <v>308</v>
      </c>
      <c r="B699" s="7">
        <v>44348</v>
      </c>
      <c r="C699" s="3" t="s">
        <v>36</v>
      </c>
      <c r="D699" s="8">
        <v>145.61523314099793</v>
      </c>
      <c r="E699" s="8">
        <v>263.77513937406587</v>
      </c>
      <c r="F699" s="9">
        <v>269713.53794164385</v>
      </c>
      <c r="G699" s="10">
        <v>0</v>
      </c>
      <c r="H699" s="9">
        <v>180000</v>
      </c>
      <c r="I699" s="10">
        <v>0</v>
      </c>
      <c r="J699" s="9">
        <v>0</v>
      </c>
      <c r="K699" s="9">
        <v>0</v>
      </c>
      <c r="L699" s="10">
        <v>0</v>
      </c>
      <c r="M699" s="10">
        <v>0</v>
      </c>
      <c r="N699" s="9">
        <v>0</v>
      </c>
      <c r="O699" s="9">
        <f t="shared" si="4"/>
        <v>0</v>
      </c>
      <c r="P699" s="9">
        <f t="shared" si="5"/>
        <v>0</v>
      </c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spans="1:42" ht="13.2" x14ac:dyDescent="0.25">
      <c r="A700" s="3" t="s">
        <v>433</v>
      </c>
      <c r="B700" s="7">
        <v>44348</v>
      </c>
      <c r="C700" s="3" t="s">
        <v>36</v>
      </c>
      <c r="D700" s="8">
        <v>21.480409451491841</v>
      </c>
      <c r="E700" s="8">
        <v>107.50608992175061</v>
      </c>
      <c r="F700" s="9">
        <v>458704.68643266155</v>
      </c>
      <c r="G700" s="10">
        <v>-1</v>
      </c>
      <c r="H700" s="9">
        <v>674000</v>
      </c>
      <c r="I700" s="10">
        <v>1</v>
      </c>
      <c r="J700" s="9">
        <v>674000</v>
      </c>
      <c r="K700" s="9">
        <v>43710.650610581179</v>
      </c>
      <c r="L700" s="10">
        <v>6</v>
      </c>
      <c r="M700" s="10">
        <v>0</v>
      </c>
      <c r="N700" s="9">
        <v>0</v>
      </c>
      <c r="O700" s="9">
        <f t="shared" si="4"/>
        <v>16850</v>
      </c>
      <c r="P700" s="9">
        <f t="shared" si="5"/>
        <v>13480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spans="1:42" ht="13.2" x14ac:dyDescent="0.25">
      <c r="A701" s="3" t="s">
        <v>434</v>
      </c>
      <c r="B701" s="7">
        <v>44348</v>
      </c>
      <c r="C701" s="3" t="s">
        <v>36</v>
      </c>
      <c r="D701" s="8">
        <v>35.649352099921686</v>
      </c>
      <c r="E701" s="8">
        <v>79.166017416321068</v>
      </c>
      <c r="F701" s="9">
        <v>137946.05532077668</v>
      </c>
      <c r="G701" s="10">
        <v>-1</v>
      </c>
      <c r="H701" s="9">
        <v>270000</v>
      </c>
      <c r="I701" s="10">
        <v>0</v>
      </c>
      <c r="J701" s="9">
        <v>0</v>
      </c>
      <c r="K701" s="9">
        <v>0</v>
      </c>
      <c r="L701" s="10">
        <v>0</v>
      </c>
      <c r="M701" s="10">
        <v>0</v>
      </c>
      <c r="N701" s="9">
        <v>0</v>
      </c>
      <c r="O701" s="9">
        <f t="shared" si="4"/>
        <v>0</v>
      </c>
      <c r="P701" s="9">
        <f t="shared" si="5"/>
        <v>0</v>
      </c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spans="1:42" ht="13.2" x14ac:dyDescent="0.25">
      <c r="A702" s="3" t="s">
        <v>435</v>
      </c>
      <c r="B702" s="7">
        <v>44348</v>
      </c>
      <c r="C702" s="3" t="s">
        <v>39</v>
      </c>
      <c r="D702" s="8">
        <v>48.447276480900506</v>
      </c>
      <c r="E702" s="8">
        <v>172.99380495309495</v>
      </c>
      <c r="F702" s="9">
        <v>24251.597735995481</v>
      </c>
      <c r="G702" s="10">
        <v>1</v>
      </c>
      <c r="H702" s="9">
        <v>30000</v>
      </c>
      <c r="I702" s="10">
        <v>1</v>
      </c>
      <c r="J702" s="9">
        <v>30000</v>
      </c>
      <c r="K702" s="9">
        <v>1875.6647911356506</v>
      </c>
      <c r="L702" s="10">
        <v>6</v>
      </c>
      <c r="M702" s="10">
        <v>0</v>
      </c>
      <c r="N702" s="9">
        <v>0</v>
      </c>
      <c r="O702" s="9">
        <f t="shared" si="4"/>
        <v>750</v>
      </c>
      <c r="P702" s="9">
        <f t="shared" si="5"/>
        <v>600</v>
      </c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spans="1:42" ht="13.2" x14ac:dyDescent="0.25">
      <c r="A703" s="3" t="s">
        <v>85</v>
      </c>
      <c r="B703" s="7">
        <v>44348</v>
      </c>
      <c r="C703" s="3" t="s">
        <v>36</v>
      </c>
      <c r="D703" s="8">
        <v>3</v>
      </c>
      <c r="E703" s="8">
        <v>60</v>
      </c>
      <c r="F703" s="9">
        <v>259864.39384622555</v>
      </c>
      <c r="G703" s="10">
        <v>-1</v>
      </c>
      <c r="H703" s="9">
        <v>360000</v>
      </c>
      <c r="I703" s="10">
        <v>0</v>
      </c>
      <c r="J703" s="9">
        <v>0</v>
      </c>
      <c r="K703" s="9">
        <v>0</v>
      </c>
      <c r="L703" s="10">
        <v>0</v>
      </c>
      <c r="M703" s="10">
        <v>0</v>
      </c>
      <c r="N703" s="9">
        <v>0</v>
      </c>
      <c r="O703" s="9">
        <f t="shared" si="4"/>
        <v>0</v>
      </c>
      <c r="P703" s="9">
        <f t="shared" si="5"/>
        <v>0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spans="1:42" ht="13.2" x14ac:dyDescent="0.25">
      <c r="A704" s="3" t="s">
        <v>436</v>
      </c>
      <c r="B704" s="7">
        <v>44348</v>
      </c>
      <c r="C704" s="3" t="s">
        <v>36</v>
      </c>
      <c r="D704" s="8">
        <v>42.290041998760096</v>
      </c>
      <c r="E704" s="8">
        <v>93.282688009972105</v>
      </c>
      <c r="F704" s="9">
        <v>69342.660230039211</v>
      </c>
      <c r="G704" s="10">
        <v>1</v>
      </c>
      <c r="H704" s="9">
        <v>130000</v>
      </c>
      <c r="I704" s="10">
        <v>1</v>
      </c>
      <c r="J704" s="9">
        <v>130000</v>
      </c>
      <c r="K704" s="9">
        <v>11387.825215186129</v>
      </c>
      <c r="L704" s="10">
        <v>6</v>
      </c>
      <c r="M704" s="10">
        <v>0</v>
      </c>
      <c r="N704" s="9">
        <v>0</v>
      </c>
      <c r="O704" s="9">
        <f t="shared" si="4"/>
        <v>3250</v>
      </c>
      <c r="P704" s="9">
        <f t="shared" si="5"/>
        <v>2600</v>
      </c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spans="1:42" ht="13.2" x14ac:dyDescent="0.25">
      <c r="A705" s="3" t="s">
        <v>276</v>
      </c>
      <c r="B705" s="7">
        <v>44348</v>
      </c>
      <c r="C705" s="3" t="s">
        <v>36</v>
      </c>
      <c r="D705" s="8">
        <v>122.13230232149121</v>
      </c>
      <c r="E705" s="8">
        <v>60</v>
      </c>
      <c r="F705" s="9">
        <v>105282.66918448856</v>
      </c>
      <c r="G705" s="10">
        <v>-1</v>
      </c>
      <c r="H705" s="9">
        <v>90000</v>
      </c>
      <c r="I705" s="10">
        <v>0</v>
      </c>
      <c r="J705" s="9">
        <v>0</v>
      </c>
      <c r="K705" s="9">
        <v>0</v>
      </c>
      <c r="L705" s="10">
        <v>0</v>
      </c>
      <c r="M705" s="10">
        <v>0</v>
      </c>
      <c r="N705" s="9">
        <v>0</v>
      </c>
      <c r="O705" s="9">
        <f t="shared" si="4"/>
        <v>0</v>
      </c>
      <c r="P705" s="9">
        <f t="shared" si="5"/>
        <v>0</v>
      </c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spans="1:42" ht="13.2" x14ac:dyDescent="0.25">
      <c r="A706" s="3" t="s">
        <v>437</v>
      </c>
      <c r="B706" s="7">
        <v>44348</v>
      </c>
      <c r="C706" s="3" t="s">
        <v>39</v>
      </c>
      <c r="D706" s="8">
        <v>18.514983582096669</v>
      </c>
      <c r="E706" s="8">
        <v>60</v>
      </c>
      <c r="F706" s="9">
        <v>169658.10665272156</v>
      </c>
      <c r="G706" s="10">
        <v>1</v>
      </c>
      <c r="H706" s="9">
        <v>280000</v>
      </c>
      <c r="I706" s="10">
        <v>0</v>
      </c>
      <c r="J706" s="9">
        <v>0</v>
      </c>
      <c r="K706" s="9">
        <v>0</v>
      </c>
      <c r="L706" s="10">
        <v>0</v>
      </c>
      <c r="M706" s="10">
        <v>0</v>
      </c>
      <c r="N706" s="9">
        <v>0</v>
      </c>
      <c r="O706" s="9">
        <f t="shared" si="4"/>
        <v>0</v>
      </c>
      <c r="P706" s="9">
        <f t="shared" si="5"/>
        <v>0</v>
      </c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spans="1:42" ht="13.2" x14ac:dyDescent="0.25">
      <c r="A707" s="3" t="s">
        <v>57</v>
      </c>
      <c r="B707" s="7">
        <v>44378</v>
      </c>
      <c r="C707" s="3" t="s">
        <v>36</v>
      </c>
      <c r="D707" s="8">
        <v>37.738202896102472</v>
      </c>
      <c r="E707" s="8">
        <v>265.24985252083502</v>
      </c>
      <c r="F707" s="9">
        <v>1117485.370826463</v>
      </c>
      <c r="G707" s="10">
        <v>1</v>
      </c>
      <c r="H707" s="9">
        <v>720000</v>
      </c>
      <c r="I707" s="10">
        <v>0</v>
      </c>
      <c r="J707" s="9">
        <v>0</v>
      </c>
      <c r="K707" s="9">
        <v>0</v>
      </c>
      <c r="L707" s="10">
        <v>0</v>
      </c>
      <c r="M707" s="10">
        <v>0</v>
      </c>
      <c r="N707" s="9">
        <v>0</v>
      </c>
      <c r="O707" s="9">
        <f t="shared" si="4"/>
        <v>0</v>
      </c>
      <c r="P707" s="9">
        <f t="shared" si="5"/>
        <v>0</v>
      </c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spans="1:42" ht="13.2" x14ac:dyDescent="0.25">
      <c r="A708" s="3" t="s">
        <v>350</v>
      </c>
      <c r="B708" s="7">
        <v>44378</v>
      </c>
      <c r="C708" s="3" t="s">
        <v>36</v>
      </c>
      <c r="D708" s="8">
        <v>30.392165542433823</v>
      </c>
      <c r="E708" s="8">
        <v>322.64264180109188</v>
      </c>
      <c r="F708" s="9">
        <v>402881.35621934914</v>
      </c>
      <c r="G708" s="10">
        <v>0</v>
      </c>
      <c r="H708" s="9">
        <v>270000</v>
      </c>
      <c r="I708" s="10">
        <v>1</v>
      </c>
      <c r="J708" s="9">
        <v>270000</v>
      </c>
      <c r="K708" s="9">
        <v>47673.543833522068</v>
      </c>
      <c r="L708" s="10">
        <v>10</v>
      </c>
      <c r="M708" s="10">
        <v>0</v>
      </c>
      <c r="N708" s="9">
        <v>0</v>
      </c>
      <c r="O708" s="9">
        <f t="shared" si="4"/>
        <v>6750</v>
      </c>
      <c r="P708" s="9">
        <f t="shared" si="5"/>
        <v>5400</v>
      </c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spans="1:42" ht="13.2" x14ac:dyDescent="0.25">
      <c r="A709" s="3" t="s">
        <v>332</v>
      </c>
      <c r="B709" s="7">
        <v>44378</v>
      </c>
      <c r="C709" s="3" t="s">
        <v>39</v>
      </c>
      <c r="D709" s="8">
        <v>20.950515117528177</v>
      </c>
      <c r="E709" s="8">
        <v>273.44534122882737</v>
      </c>
      <c r="F709" s="9">
        <v>251917.26262279411</v>
      </c>
      <c r="G709" s="10">
        <v>-1</v>
      </c>
      <c r="H709" s="9">
        <v>160000</v>
      </c>
      <c r="I709" s="10">
        <v>0</v>
      </c>
      <c r="J709" s="9">
        <v>0</v>
      </c>
      <c r="K709" s="9">
        <v>0</v>
      </c>
      <c r="L709" s="10">
        <v>0</v>
      </c>
      <c r="M709" s="10">
        <v>0</v>
      </c>
      <c r="N709" s="9">
        <v>0</v>
      </c>
      <c r="O709" s="9">
        <f t="shared" si="4"/>
        <v>0</v>
      </c>
      <c r="P709" s="9">
        <f t="shared" si="5"/>
        <v>0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spans="1:42" ht="13.2" x14ac:dyDescent="0.25">
      <c r="A710" s="3" t="s">
        <v>228</v>
      </c>
      <c r="B710" s="7">
        <v>44378</v>
      </c>
      <c r="C710" s="3" t="s">
        <v>39</v>
      </c>
      <c r="D710" s="8">
        <v>19.476863194529564</v>
      </c>
      <c r="E710" s="8">
        <v>60</v>
      </c>
      <c r="F710" s="9">
        <v>12994.930472477476</v>
      </c>
      <c r="G710" s="10">
        <v>-1</v>
      </c>
      <c r="H710" s="9">
        <v>20000</v>
      </c>
      <c r="I710" s="10">
        <v>0</v>
      </c>
      <c r="J710" s="9">
        <v>0</v>
      </c>
      <c r="K710" s="9">
        <v>0</v>
      </c>
      <c r="L710" s="10">
        <v>0</v>
      </c>
      <c r="M710" s="10">
        <v>0</v>
      </c>
      <c r="N710" s="9">
        <v>0</v>
      </c>
      <c r="O710" s="9">
        <f t="shared" si="4"/>
        <v>0</v>
      </c>
      <c r="P710" s="9">
        <f t="shared" si="5"/>
        <v>0</v>
      </c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spans="1:42" ht="13.2" x14ac:dyDescent="0.25">
      <c r="A711" s="3" t="s">
        <v>72</v>
      </c>
      <c r="B711" s="7">
        <v>44378</v>
      </c>
      <c r="C711" s="3" t="s">
        <v>36</v>
      </c>
      <c r="D711" s="8">
        <v>36.310090478206753</v>
      </c>
      <c r="E711" s="8">
        <v>341.43714757718942</v>
      </c>
      <c r="F711" s="9">
        <v>239370.59621747257</v>
      </c>
      <c r="G711" s="10">
        <v>-1</v>
      </c>
      <c r="H711" s="9">
        <v>210000</v>
      </c>
      <c r="I711" s="10">
        <v>1</v>
      </c>
      <c r="J711" s="9">
        <v>210000</v>
      </c>
      <c r="K711" s="9">
        <v>18249.591629028731</v>
      </c>
      <c r="L711" s="10">
        <v>6</v>
      </c>
      <c r="M711" s="10">
        <v>0</v>
      </c>
      <c r="N711" s="9">
        <v>0</v>
      </c>
      <c r="O711" s="9">
        <f t="shared" si="4"/>
        <v>5250</v>
      </c>
      <c r="P711" s="9">
        <f t="shared" si="5"/>
        <v>4200</v>
      </c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spans="1:42" ht="13.2" x14ac:dyDescent="0.25">
      <c r="A712" s="3" t="s">
        <v>438</v>
      </c>
      <c r="B712" s="7">
        <v>44378</v>
      </c>
      <c r="C712" s="3" t="s">
        <v>63</v>
      </c>
      <c r="D712" s="8">
        <v>36.794602798796262</v>
      </c>
      <c r="E712" s="8">
        <v>60</v>
      </c>
      <c r="F712" s="9">
        <v>205010.57672603781</v>
      </c>
      <c r="G712" s="10">
        <v>-1</v>
      </c>
      <c r="H712" s="9">
        <v>350000</v>
      </c>
      <c r="I712" s="10">
        <v>0</v>
      </c>
      <c r="J712" s="9">
        <v>0</v>
      </c>
      <c r="K712" s="9">
        <v>0</v>
      </c>
      <c r="L712" s="10">
        <v>0</v>
      </c>
      <c r="M712" s="10">
        <v>0</v>
      </c>
      <c r="N712" s="9">
        <v>0</v>
      </c>
      <c r="O712" s="9">
        <f t="shared" si="4"/>
        <v>0</v>
      </c>
      <c r="P712" s="9">
        <f t="shared" si="5"/>
        <v>0</v>
      </c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spans="1:42" ht="13.2" x14ac:dyDescent="0.25">
      <c r="A713" s="3" t="s">
        <v>76</v>
      </c>
      <c r="B713" s="7">
        <v>44378</v>
      </c>
      <c r="C713" s="3" t="s">
        <v>39</v>
      </c>
      <c r="D713" s="8">
        <v>38.695541369339857</v>
      </c>
      <c r="E713" s="8">
        <v>60</v>
      </c>
      <c r="F713" s="9">
        <v>218895.67258123905</v>
      </c>
      <c r="G713" s="10">
        <v>-1</v>
      </c>
      <c r="H713" s="9">
        <v>370000</v>
      </c>
      <c r="I713" s="10">
        <v>0</v>
      </c>
      <c r="J713" s="9">
        <v>0</v>
      </c>
      <c r="K713" s="9">
        <v>0</v>
      </c>
      <c r="L713" s="10">
        <v>0</v>
      </c>
      <c r="M713" s="10">
        <v>0</v>
      </c>
      <c r="N713" s="9">
        <v>0</v>
      </c>
      <c r="O713" s="9">
        <f t="shared" si="4"/>
        <v>0</v>
      </c>
      <c r="P713" s="9">
        <f t="shared" si="5"/>
        <v>0</v>
      </c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spans="1:42" ht="13.2" x14ac:dyDescent="0.25">
      <c r="A714" s="3" t="s">
        <v>365</v>
      </c>
      <c r="B714" s="7">
        <v>44378</v>
      </c>
      <c r="C714" s="3" t="s">
        <v>36</v>
      </c>
      <c r="D714" s="8">
        <v>3</v>
      </c>
      <c r="E714" s="8">
        <v>174.8026170498045</v>
      </c>
      <c r="F714" s="9">
        <v>31002.823251371246</v>
      </c>
      <c r="G714" s="10">
        <v>1</v>
      </c>
      <c r="H714" s="9">
        <v>50000</v>
      </c>
      <c r="I714" s="10">
        <v>0</v>
      </c>
      <c r="J714" s="9">
        <v>0</v>
      </c>
      <c r="K714" s="9">
        <v>0</v>
      </c>
      <c r="L714" s="10">
        <v>0</v>
      </c>
      <c r="M714" s="10">
        <v>0</v>
      </c>
      <c r="N714" s="9">
        <v>0</v>
      </c>
      <c r="O714" s="9">
        <f t="shared" si="4"/>
        <v>0</v>
      </c>
      <c r="P714" s="9">
        <f t="shared" si="5"/>
        <v>0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spans="1:42" ht="13.2" x14ac:dyDescent="0.25">
      <c r="A715" s="3" t="s">
        <v>69</v>
      </c>
      <c r="B715" s="7">
        <v>44378</v>
      </c>
      <c r="C715" s="3" t="s">
        <v>36</v>
      </c>
      <c r="D715" s="8">
        <v>22.85235390936403</v>
      </c>
      <c r="E715" s="8">
        <v>295.0049877210929</v>
      </c>
      <c r="F715" s="9">
        <v>2403230.7252961542</v>
      </c>
      <c r="G715" s="10">
        <v>0</v>
      </c>
      <c r="H715" s="9">
        <v>1510000</v>
      </c>
      <c r="I715" s="10">
        <v>0</v>
      </c>
      <c r="J715" s="9">
        <v>0</v>
      </c>
      <c r="K715" s="9">
        <v>0</v>
      </c>
      <c r="L715" s="10">
        <v>0</v>
      </c>
      <c r="M715" s="10">
        <v>0</v>
      </c>
      <c r="N715" s="9">
        <v>0</v>
      </c>
      <c r="O715" s="9">
        <f t="shared" si="4"/>
        <v>0</v>
      </c>
      <c r="P715" s="9">
        <f t="shared" si="5"/>
        <v>0</v>
      </c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spans="1:42" ht="13.2" x14ac:dyDescent="0.25">
      <c r="A716" s="3" t="s">
        <v>278</v>
      </c>
      <c r="B716" s="7">
        <v>44378</v>
      </c>
      <c r="C716" s="3" t="s">
        <v>36</v>
      </c>
      <c r="D716" s="8">
        <v>3</v>
      </c>
      <c r="E716" s="8">
        <v>197.64396107576943</v>
      </c>
      <c r="F716" s="9">
        <v>71320.090505415297</v>
      </c>
      <c r="G716" s="10">
        <v>0</v>
      </c>
      <c r="H716" s="9">
        <v>100000</v>
      </c>
      <c r="I716" s="10">
        <v>1</v>
      </c>
      <c r="J716" s="9">
        <v>100000</v>
      </c>
      <c r="K716" s="9">
        <v>5229.5521914710089</v>
      </c>
      <c r="L716" s="10">
        <v>6</v>
      </c>
      <c r="M716" s="10">
        <v>0</v>
      </c>
      <c r="N716" s="9">
        <v>0</v>
      </c>
      <c r="O716" s="9">
        <f t="shared" si="4"/>
        <v>2500</v>
      </c>
      <c r="P716" s="9">
        <f t="shared" si="5"/>
        <v>2000</v>
      </c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spans="1:42" ht="13.2" x14ac:dyDescent="0.25">
      <c r="A717" s="3" t="s">
        <v>158</v>
      </c>
      <c r="B717" s="7">
        <v>44378</v>
      </c>
      <c r="C717" s="3" t="s">
        <v>39</v>
      </c>
      <c r="D717" s="8">
        <v>4.3844204854909883</v>
      </c>
      <c r="E717" s="8">
        <v>162.36536576550688</v>
      </c>
      <c r="F717" s="9">
        <v>34572.366861604263</v>
      </c>
      <c r="G717" s="10">
        <v>-1</v>
      </c>
      <c r="H717" s="9">
        <v>50000</v>
      </c>
      <c r="I717" s="10">
        <v>0</v>
      </c>
      <c r="J717" s="9">
        <v>0</v>
      </c>
      <c r="K717" s="9">
        <v>0</v>
      </c>
      <c r="L717" s="10">
        <v>0</v>
      </c>
      <c r="M717" s="10">
        <v>0</v>
      </c>
      <c r="N717" s="9">
        <v>0</v>
      </c>
      <c r="O717" s="9">
        <f t="shared" si="4"/>
        <v>0</v>
      </c>
      <c r="P717" s="9">
        <f t="shared" si="5"/>
        <v>0</v>
      </c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spans="1:42" ht="13.2" x14ac:dyDescent="0.25">
      <c r="A718" s="3" t="s">
        <v>439</v>
      </c>
      <c r="B718" s="7">
        <v>44378</v>
      </c>
      <c r="C718" s="3" t="s">
        <v>36</v>
      </c>
      <c r="D718" s="8">
        <v>41.08780249558302</v>
      </c>
      <c r="E718" s="8">
        <v>75.428412459520857</v>
      </c>
      <c r="F718" s="9">
        <v>243179.01804717854</v>
      </c>
      <c r="G718" s="10">
        <v>1</v>
      </c>
      <c r="H718" s="9">
        <v>390000</v>
      </c>
      <c r="I718" s="10">
        <v>0</v>
      </c>
      <c r="J718" s="9">
        <v>0</v>
      </c>
      <c r="K718" s="9">
        <v>0</v>
      </c>
      <c r="L718" s="10">
        <v>0</v>
      </c>
      <c r="M718" s="10">
        <v>0</v>
      </c>
      <c r="N718" s="9">
        <v>0</v>
      </c>
      <c r="O718" s="9">
        <f t="shared" si="4"/>
        <v>0</v>
      </c>
      <c r="P718" s="9">
        <f t="shared" si="5"/>
        <v>0</v>
      </c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spans="1:42" ht="13.2" x14ac:dyDescent="0.25">
      <c r="A719" s="3" t="s">
        <v>371</v>
      </c>
      <c r="B719" s="7">
        <v>44378</v>
      </c>
      <c r="C719" s="3" t="s">
        <v>39</v>
      </c>
      <c r="D719" s="8">
        <v>43.346339811967752</v>
      </c>
      <c r="E719" s="8">
        <v>200.65878651285544</v>
      </c>
      <c r="F719" s="9">
        <v>1918248.8027535845</v>
      </c>
      <c r="G719" s="10">
        <v>0</v>
      </c>
      <c r="H719" s="9">
        <v>1350000</v>
      </c>
      <c r="I719" s="10">
        <v>1</v>
      </c>
      <c r="J719" s="9">
        <v>1350000</v>
      </c>
      <c r="K719" s="9">
        <v>160884.5307305356</v>
      </c>
      <c r="L719" s="10">
        <v>9</v>
      </c>
      <c r="M719" s="10">
        <v>0</v>
      </c>
      <c r="N719" s="9">
        <v>0</v>
      </c>
      <c r="O719" s="9">
        <f t="shared" si="4"/>
        <v>33750</v>
      </c>
      <c r="P719" s="9">
        <f t="shared" si="5"/>
        <v>27000</v>
      </c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spans="1:42" ht="13.2" x14ac:dyDescent="0.25">
      <c r="A720" s="3" t="s">
        <v>229</v>
      </c>
      <c r="B720" s="7">
        <v>44378</v>
      </c>
      <c r="C720" s="3" t="s">
        <v>36</v>
      </c>
      <c r="D720" s="8">
        <v>3</v>
      </c>
      <c r="E720" s="8">
        <v>359.51349128764099</v>
      </c>
      <c r="F720" s="9">
        <v>29014.939741040645</v>
      </c>
      <c r="G720" s="10">
        <v>0</v>
      </c>
      <c r="H720" s="9">
        <v>20000</v>
      </c>
      <c r="I720" s="10">
        <v>0</v>
      </c>
      <c r="J720" s="9">
        <v>0</v>
      </c>
      <c r="K720" s="9">
        <v>0</v>
      </c>
      <c r="L720" s="10">
        <v>0</v>
      </c>
      <c r="M720" s="10">
        <v>0</v>
      </c>
      <c r="N720" s="9">
        <v>0</v>
      </c>
      <c r="O720" s="9">
        <f t="shared" si="4"/>
        <v>0</v>
      </c>
      <c r="P720" s="9">
        <f t="shared" si="5"/>
        <v>0</v>
      </c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spans="1:42" ht="13.2" x14ac:dyDescent="0.25">
      <c r="A721" s="3" t="s">
        <v>248</v>
      </c>
      <c r="B721" s="7">
        <v>44378</v>
      </c>
      <c r="C721" s="3" t="s">
        <v>36</v>
      </c>
      <c r="D721" s="8">
        <v>66.381297130406665</v>
      </c>
      <c r="E721" s="8">
        <v>60</v>
      </c>
      <c r="F721" s="9">
        <v>197767.68247385963</v>
      </c>
      <c r="G721" s="10">
        <v>0</v>
      </c>
      <c r="H721" s="9">
        <v>230000</v>
      </c>
      <c r="I721" s="10">
        <v>0</v>
      </c>
      <c r="J721" s="9">
        <v>0</v>
      </c>
      <c r="K721" s="9">
        <v>0</v>
      </c>
      <c r="L721" s="10">
        <v>0</v>
      </c>
      <c r="M721" s="10">
        <v>0</v>
      </c>
      <c r="N721" s="9">
        <v>0</v>
      </c>
      <c r="O721" s="9">
        <f t="shared" si="4"/>
        <v>0</v>
      </c>
      <c r="P721" s="9">
        <f t="shared" si="5"/>
        <v>0</v>
      </c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spans="1:42" ht="13.2" x14ac:dyDescent="0.25">
      <c r="A722" s="3" t="s">
        <v>376</v>
      </c>
      <c r="B722" s="7">
        <v>44378</v>
      </c>
      <c r="C722" s="3" t="s">
        <v>36</v>
      </c>
      <c r="D722" s="8">
        <v>101.79423461258236</v>
      </c>
      <c r="E722" s="8">
        <v>111.90545712232773</v>
      </c>
      <c r="F722" s="9">
        <v>72221.136718330337</v>
      </c>
      <c r="G722" s="10">
        <v>1</v>
      </c>
      <c r="H722" s="9">
        <v>60000</v>
      </c>
      <c r="I722" s="10">
        <v>1</v>
      </c>
      <c r="J722" s="9">
        <v>60000</v>
      </c>
      <c r="K722" s="9">
        <v>1897.5902031094247</v>
      </c>
      <c r="L722" s="10">
        <v>3</v>
      </c>
      <c r="M722" s="10">
        <v>0</v>
      </c>
      <c r="N722" s="9">
        <v>0</v>
      </c>
      <c r="O722" s="9">
        <f t="shared" si="4"/>
        <v>1500</v>
      </c>
      <c r="P722" s="9">
        <f t="shared" si="5"/>
        <v>1200</v>
      </c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spans="1:42" ht="13.2" x14ac:dyDescent="0.25">
      <c r="A723" s="3" t="s">
        <v>440</v>
      </c>
      <c r="B723" s="7">
        <v>44378</v>
      </c>
      <c r="C723" s="3" t="s">
        <v>63</v>
      </c>
      <c r="D723" s="8">
        <v>43.791317229410318</v>
      </c>
      <c r="E723" s="8">
        <v>75.108309298678975</v>
      </c>
      <c r="F723" s="9">
        <v>766540.70476706163</v>
      </c>
      <c r="G723" s="10">
        <v>-1</v>
      </c>
      <c r="H723" s="9">
        <v>790000</v>
      </c>
      <c r="I723" s="10">
        <v>1</v>
      </c>
      <c r="J723" s="9">
        <v>790000</v>
      </c>
      <c r="K723" s="9">
        <v>109638.54869046537</v>
      </c>
      <c r="L723" s="10">
        <v>12</v>
      </c>
      <c r="M723" s="10">
        <v>0</v>
      </c>
      <c r="N723" s="9">
        <v>0</v>
      </c>
      <c r="O723" s="9">
        <f t="shared" si="4"/>
        <v>19750</v>
      </c>
      <c r="P723" s="9">
        <f t="shared" si="5"/>
        <v>15800</v>
      </c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spans="1:42" ht="13.2" x14ac:dyDescent="0.25">
      <c r="A724" s="3" t="s">
        <v>240</v>
      </c>
      <c r="B724" s="7">
        <v>44378</v>
      </c>
      <c r="C724" s="3" t="s">
        <v>36</v>
      </c>
      <c r="D724" s="8">
        <v>20.467585425317822</v>
      </c>
      <c r="E724" s="8">
        <v>195.53293639224466</v>
      </c>
      <c r="F724" s="9">
        <v>63649.874398484484</v>
      </c>
      <c r="G724" s="10">
        <v>-1</v>
      </c>
      <c r="H724" s="9">
        <v>100000</v>
      </c>
      <c r="I724" s="10">
        <v>0</v>
      </c>
      <c r="J724" s="9">
        <v>0</v>
      </c>
      <c r="K724" s="9">
        <v>0</v>
      </c>
      <c r="L724" s="10">
        <v>0</v>
      </c>
      <c r="M724" s="10">
        <v>0</v>
      </c>
      <c r="N724" s="9">
        <v>0</v>
      </c>
      <c r="O724" s="9">
        <f t="shared" si="4"/>
        <v>0</v>
      </c>
      <c r="P724" s="9">
        <f t="shared" si="5"/>
        <v>0</v>
      </c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spans="1:42" ht="13.2" x14ac:dyDescent="0.25">
      <c r="A725" s="3" t="s">
        <v>120</v>
      </c>
      <c r="B725" s="7">
        <v>44378</v>
      </c>
      <c r="C725" s="3" t="s">
        <v>36</v>
      </c>
      <c r="D725" s="8">
        <v>3</v>
      </c>
      <c r="E725" s="8">
        <v>153.15072905927516</v>
      </c>
      <c r="F725" s="9">
        <v>27288.984586468629</v>
      </c>
      <c r="G725" s="10">
        <v>0</v>
      </c>
      <c r="H725" s="9">
        <v>50000</v>
      </c>
      <c r="I725" s="10">
        <v>0</v>
      </c>
      <c r="J725" s="9">
        <v>0</v>
      </c>
      <c r="K725" s="9">
        <v>0</v>
      </c>
      <c r="L725" s="10">
        <v>0</v>
      </c>
      <c r="M725" s="10">
        <v>0</v>
      </c>
      <c r="N725" s="9">
        <v>0</v>
      </c>
      <c r="O725" s="9">
        <f t="shared" si="4"/>
        <v>0</v>
      </c>
      <c r="P725" s="9">
        <f t="shared" si="5"/>
        <v>0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spans="1:42" ht="13.2" x14ac:dyDescent="0.25">
      <c r="A726" s="3" t="s">
        <v>334</v>
      </c>
      <c r="B726" s="7">
        <v>44378</v>
      </c>
      <c r="C726" s="3" t="s">
        <v>36</v>
      </c>
      <c r="D726" s="8">
        <v>95.030136130558077</v>
      </c>
      <c r="E726" s="8">
        <v>60</v>
      </c>
      <c r="F726" s="9">
        <v>138844.36199682872</v>
      </c>
      <c r="G726" s="10">
        <v>1</v>
      </c>
      <c r="H726" s="9">
        <v>180000</v>
      </c>
      <c r="I726" s="10">
        <v>1</v>
      </c>
      <c r="J726" s="9">
        <v>180000</v>
      </c>
      <c r="K726" s="9">
        <v>9135.0895141834462</v>
      </c>
      <c r="L726" s="10">
        <v>7</v>
      </c>
      <c r="M726" s="10">
        <v>0</v>
      </c>
      <c r="N726" s="9">
        <v>0</v>
      </c>
      <c r="O726" s="9">
        <f t="shared" si="4"/>
        <v>4500</v>
      </c>
      <c r="P726" s="9">
        <f t="shared" si="5"/>
        <v>3600</v>
      </c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spans="1:42" ht="13.2" x14ac:dyDescent="0.25">
      <c r="A727" s="3" t="s">
        <v>183</v>
      </c>
      <c r="B727" s="7">
        <v>44378</v>
      </c>
      <c r="C727" s="3" t="s">
        <v>36</v>
      </c>
      <c r="D727" s="8">
        <v>37.722461368337221</v>
      </c>
      <c r="E727" s="8">
        <v>164.57965142045157</v>
      </c>
      <c r="F727" s="9">
        <v>36005.985120069738</v>
      </c>
      <c r="G727" s="10">
        <v>0</v>
      </c>
      <c r="H727" s="9">
        <v>30000</v>
      </c>
      <c r="I727" s="10">
        <v>1</v>
      </c>
      <c r="J727" s="9">
        <v>30000</v>
      </c>
      <c r="K727" s="9">
        <v>3165.867047100543</v>
      </c>
      <c r="L727" s="10">
        <v>6</v>
      </c>
      <c r="M727" s="10">
        <v>0</v>
      </c>
      <c r="N727" s="9">
        <v>0</v>
      </c>
      <c r="O727" s="9">
        <f t="shared" si="4"/>
        <v>750</v>
      </c>
      <c r="P727" s="9">
        <f t="shared" si="5"/>
        <v>600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spans="1:42" ht="13.2" x14ac:dyDescent="0.25">
      <c r="A728" s="3" t="s">
        <v>441</v>
      </c>
      <c r="B728" s="7">
        <v>44378</v>
      </c>
      <c r="C728" s="3" t="s">
        <v>36</v>
      </c>
      <c r="D728" s="8">
        <v>3</v>
      </c>
      <c r="E728" s="8">
        <v>317.09390481735494</v>
      </c>
      <c r="F728" s="9">
        <v>131420.66326478962</v>
      </c>
      <c r="G728" s="10">
        <v>1</v>
      </c>
      <c r="H728" s="9">
        <v>110000</v>
      </c>
      <c r="I728" s="10">
        <v>0</v>
      </c>
      <c r="J728" s="9">
        <v>0</v>
      </c>
      <c r="K728" s="9">
        <v>0</v>
      </c>
      <c r="L728" s="10">
        <v>0</v>
      </c>
      <c r="M728" s="10">
        <v>0</v>
      </c>
      <c r="N728" s="9">
        <v>0</v>
      </c>
      <c r="O728" s="9">
        <f t="shared" si="4"/>
        <v>0</v>
      </c>
      <c r="P728" s="9">
        <f t="shared" si="5"/>
        <v>0</v>
      </c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spans="1:42" ht="13.2" x14ac:dyDescent="0.25">
      <c r="A729" s="3" t="s">
        <v>442</v>
      </c>
      <c r="B729" s="7">
        <v>44378</v>
      </c>
      <c r="C729" s="3" t="s">
        <v>36</v>
      </c>
      <c r="D729" s="8">
        <v>3</v>
      </c>
      <c r="E729" s="8">
        <v>60</v>
      </c>
      <c r="F729" s="9">
        <v>250146.868455413</v>
      </c>
      <c r="G729" s="10">
        <v>0</v>
      </c>
      <c r="H729" s="9">
        <v>390000</v>
      </c>
      <c r="I729" s="10">
        <v>0</v>
      </c>
      <c r="J729" s="9">
        <v>0</v>
      </c>
      <c r="K729" s="9">
        <v>0</v>
      </c>
      <c r="L729" s="10">
        <v>0</v>
      </c>
      <c r="M729" s="10">
        <v>0</v>
      </c>
      <c r="N729" s="9">
        <v>0</v>
      </c>
      <c r="O729" s="9">
        <f t="shared" si="4"/>
        <v>0</v>
      </c>
      <c r="P729" s="9">
        <f t="shared" si="5"/>
        <v>0</v>
      </c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spans="1:42" ht="13.2" x14ac:dyDescent="0.25">
      <c r="A730" s="3" t="s">
        <v>139</v>
      </c>
      <c r="B730" s="7">
        <v>44378</v>
      </c>
      <c r="C730" s="3" t="s">
        <v>36</v>
      </c>
      <c r="D730" s="8">
        <v>53.514664911212869</v>
      </c>
      <c r="E730" s="8">
        <v>132.84130932760277</v>
      </c>
      <c r="F730" s="9">
        <v>349972.43142690451</v>
      </c>
      <c r="G730" s="10">
        <v>-1</v>
      </c>
      <c r="H730" s="9">
        <v>350000</v>
      </c>
      <c r="I730" s="10">
        <v>1</v>
      </c>
      <c r="J730" s="9">
        <v>350000</v>
      </c>
      <c r="K730" s="9">
        <v>14952.569221540816</v>
      </c>
      <c r="L730" s="10">
        <v>7</v>
      </c>
      <c r="M730" s="10">
        <v>0</v>
      </c>
      <c r="N730" s="9">
        <v>0</v>
      </c>
      <c r="O730" s="9">
        <f t="shared" si="4"/>
        <v>8750</v>
      </c>
      <c r="P730" s="9">
        <f t="shared" si="5"/>
        <v>7000</v>
      </c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spans="1:42" ht="13.2" x14ac:dyDescent="0.25">
      <c r="A731" s="3" t="s">
        <v>341</v>
      </c>
      <c r="B731" s="7">
        <v>44378</v>
      </c>
      <c r="C731" s="3" t="s">
        <v>36</v>
      </c>
      <c r="D731" s="8">
        <v>108.53160989941215</v>
      </c>
      <c r="E731" s="8">
        <v>94.260185270500585</v>
      </c>
      <c r="F731" s="9">
        <v>236349.80765530182</v>
      </c>
      <c r="G731" s="10">
        <v>0</v>
      </c>
      <c r="H731" s="9">
        <v>290000</v>
      </c>
      <c r="I731" s="10">
        <v>0</v>
      </c>
      <c r="J731" s="9">
        <v>0</v>
      </c>
      <c r="K731" s="9">
        <v>0</v>
      </c>
      <c r="L731" s="10">
        <v>0</v>
      </c>
      <c r="M731" s="10">
        <v>0</v>
      </c>
      <c r="N731" s="9">
        <v>0</v>
      </c>
      <c r="O731" s="9">
        <f t="shared" si="4"/>
        <v>0</v>
      </c>
      <c r="P731" s="9">
        <f t="shared" si="5"/>
        <v>0</v>
      </c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spans="1:42" ht="13.2" x14ac:dyDescent="0.25">
      <c r="A732" s="3" t="s">
        <v>324</v>
      </c>
      <c r="B732" s="7">
        <v>44378</v>
      </c>
      <c r="C732" s="3" t="s">
        <v>36</v>
      </c>
      <c r="D732" s="8">
        <v>3</v>
      </c>
      <c r="E732" s="8">
        <v>135.04138828567451</v>
      </c>
      <c r="F732" s="9">
        <v>13370.682641471743</v>
      </c>
      <c r="G732" s="10">
        <v>-1</v>
      </c>
      <c r="H732" s="9">
        <v>20000</v>
      </c>
      <c r="I732" s="10">
        <v>0</v>
      </c>
      <c r="J732" s="9">
        <v>0</v>
      </c>
      <c r="K732" s="9">
        <v>0</v>
      </c>
      <c r="L732" s="10">
        <v>0</v>
      </c>
      <c r="M732" s="10">
        <v>0</v>
      </c>
      <c r="N732" s="9">
        <v>0</v>
      </c>
      <c r="O732" s="9">
        <f t="shared" si="4"/>
        <v>0</v>
      </c>
      <c r="P732" s="9">
        <f t="shared" si="5"/>
        <v>0</v>
      </c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spans="1:42" ht="13.2" x14ac:dyDescent="0.25">
      <c r="A733" s="3" t="s">
        <v>443</v>
      </c>
      <c r="B733" s="7">
        <v>44378</v>
      </c>
      <c r="C733" s="3" t="s">
        <v>36</v>
      </c>
      <c r="D733" s="8">
        <v>37.796339390568484</v>
      </c>
      <c r="E733" s="8">
        <v>154.89173317608075</v>
      </c>
      <c r="F733" s="9">
        <v>543527.96569928643</v>
      </c>
      <c r="G733" s="10">
        <v>0</v>
      </c>
      <c r="H733" s="9">
        <v>910000</v>
      </c>
      <c r="I733" s="10">
        <v>0</v>
      </c>
      <c r="J733" s="9">
        <v>0</v>
      </c>
      <c r="K733" s="9">
        <v>0</v>
      </c>
      <c r="L733" s="10">
        <v>0</v>
      </c>
      <c r="M733" s="10">
        <v>0</v>
      </c>
      <c r="N733" s="9">
        <v>0</v>
      </c>
      <c r="O733" s="9">
        <f t="shared" si="4"/>
        <v>0</v>
      </c>
      <c r="P733" s="9">
        <f t="shared" si="5"/>
        <v>0</v>
      </c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spans="1:42" ht="13.2" x14ac:dyDescent="0.25">
      <c r="A734" s="3" t="s">
        <v>444</v>
      </c>
      <c r="B734" s="7">
        <v>44378</v>
      </c>
      <c r="C734" s="3" t="s">
        <v>36</v>
      </c>
      <c r="D734" s="8">
        <v>79.261297875903949</v>
      </c>
      <c r="E734" s="8">
        <v>264.42021947399644</v>
      </c>
      <c r="F734" s="9">
        <v>1046660.7542663279</v>
      </c>
      <c r="G734" s="10">
        <v>1</v>
      </c>
      <c r="H734" s="9">
        <v>700000</v>
      </c>
      <c r="I734" s="10">
        <v>0</v>
      </c>
      <c r="J734" s="9">
        <v>0</v>
      </c>
      <c r="K734" s="9">
        <v>0</v>
      </c>
      <c r="L734" s="10">
        <v>0</v>
      </c>
      <c r="M734" s="10">
        <v>0</v>
      </c>
      <c r="N734" s="9">
        <v>0</v>
      </c>
      <c r="O734" s="9">
        <f t="shared" si="4"/>
        <v>0</v>
      </c>
      <c r="P734" s="9">
        <f t="shared" si="5"/>
        <v>0</v>
      </c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spans="1:42" ht="13.2" x14ac:dyDescent="0.25">
      <c r="A735" s="3" t="s">
        <v>289</v>
      </c>
      <c r="B735" s="7">
        <v>44378</v>
      </c>
      <c r="C735" s="3" t="s">
        <v>39</v>
      </c>
      <c r="D735" s="8">
        <v>3</v>
      </c>
      <c r="E735" s="8">
        <v>60</v>
      </c>
      <c r="F735" s="9">
        <v>1698.1068975427202</v>
      </c>
      <c r="G735" s="10">
        <v>1</v>
      </c>
      <c r="H735" s="9">
        <v>2500</v>
      </c>
      <c r="I735" s="10">
        <v>1</v>
      </c>
      <c r="J735" s="9">
        <v>2500</v>
      </c>
      <c r="K735" s="9">
        <v>331.81247384438154</v>
      </c>
      <c r="L735" s="10">
        <v>5</v>
      </c>
      <c r="M735" s="10">
        <v>0</v>
      </c>
      <c r="N735" s="9">
        <v>0</v>
      </c>
      <c r="O735" s="9">
        <f t="shared" si="4"/>
        <v>62.5</v>
      </c>
      <c r="P735" s="9">
        <f t="shared" si="5"/>
        <v>50</v>
      </c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spans="1:42" ht="13.2" x14ac:dyDescent="0.25">
      <c r="A736" s="3" t="s">
        <v>347</v>
      </c>
      <c r="B736" s="7">
        <v>44378</v>
      </c>
      <c r="C736" s="3" t="s">
        <v>39</v>
      </c>
      <c r="D736" s="8">
        <v>4.3358918532416872</v>
      </c>
      <c r="E736" s="8">
        <v>219.66090439159231</v>
      </c>
      <c r="F736" s="9">
        <v>1015204.7101008071</v>
      </c>
      <c r="G736" s="10">
        <v>0</v>
      </c>
      <c r="H736" s="9">
        <v>800000</v>
      </c>
      <c r="I736" s="10">
        <v>1</v>
      </c>
      <c r="J736" s="9">
        <v>800000</v>
      </c>
      <c r="K736" s="9">
        <v>129053.05146180271</v>
      </c>
      <c r="L736" s="10">
        <v>12</v>
      </c>
      <c r="M736" s="10">
        <v>0</v>
      </c>
      <c r="N736" s="9">
        <v>0</v>
      </c>
      <c r="O736" s="9">
        <f t="shared" si="4"/>
        <v>20000</v>
      </c>
      <c r="P736" s="9">
        <f t="shared" si="5"/>
        <v>16000</v>
      </c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spans="1:42" ht="13.2" x14ac:dyDescent="0.25">
      <c r="A737" s="3" t="s">
        <v>445</v>
      </c>
      <c r="B737" s="7">
        <v>44378</v>
      </c>
      <c r="C737" s="3" t="s">
        <v>36</v>
      </c>
      <c r="D737" s="8">
        <v>52.90371283770142</v>
      </c>
      <c r="E737" s="8">
        <v>60</v>
      </c>
      <c r="F737" s="9">
        <v>72841.820693113463</v>
      </c>
      <c r="G737" s="10">
        <v>1</v>
      </c>
      <c r="H737" s="9">
        <v>90000</v>
      </c>
      <c r="I737" s="10">
        <v>1</v>
      </c>
      <c r="J737" s="9">
        <v>90000</v>
      </c>
      <c r="K737" s="9">
        <v>4835.3324468872079</v>
      </c>
      <c r="L737" s="10">
        <v>6</v>
      </c>
      <c r="M737" s="10">
        <v>0</v>
      </c>
      <c r="N737" s="9">
        <v>0</v>
      </c>
      <c r="O737" s="9">
        <f t="shared" si="4"/>
        <v>2250</v>
      </c>
      <c r="P737" s="9">
        <f t="shared" si="5"/>
        <v>1800</v>
      </c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spans="1:42" ht="13.2" x14ac:dyDescent="0.25">
      <c r="A738" s="3" t="s">
        <v>110</v>
      </c>
      <c r="B738" s="7">
        <v>44378</v>
      </c>
      <c r="C738" s="3" t="s">
        <v>36</v>
      </c>
      <c r="D738" s="8">
        <v>3</v>
      </c>
      <c r="E738" s="8">
        <v>129.52839038074998</v>
      </c>
      <c r="F738" s="9">
        <v>479590.95888971776</v>
      </c>
      <c r="G738" s="10">
        <v>1</v>
      </c>
      <c r="H738" s="9">
        <v>650000</v>
      </c>
      <c r="I738" s="10">
        <v>1</v>
      </c>
      <c r="J738" s="9">
        <v>650000</v>
      </c>
      <c r="K738" s="9">
        <v>63611.494570196897</v>
      </c>
      <c r="L738" s="10">
        <v>6</v>
      </c>
      <c r="M738" s="10">
        <v>0</v>
      </c>
      <c r="N738" s="9">
        <v>0</v>
      </c>
      <c r="O738" s="9">
        <f t="shared" si="4"/>
        <v>16250</v>
      </c>
      <c r="P738" s="9">
        <f t="shared" si="5"/>
        <v>13000</v>
      </c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spans="1:42" ht="13.2" x14ac:dyDescent="0.25">
      <c r="A739" s="3" t="s">
        <v>446</v>
      </c>
      <c r="B739" s="7">
        <v>44378</v>
      </c>
      <c r="C739" s="3" t="s">
        <v>36</v>
      </c>
      <c r="D739" s="8">
        <v>65.806017908113745</v>
      </c>
      <c r="E739" s="8">
        <v>88.547383362375228</v>
      </c>
      <c r="F739" s="9">
        <v>182032.84019459877</v>
      </c>
      <c r="G739" s="10">
        <v>-1</v>
      </c>
      <c r="H739" s="9">
        <v>190000</v>
      </c>
      <c r="I739" s="10">
        <v>1</v>
      </c>
      <c r="J739" s="9">
        <v>190000</v>
      </c>
      <c r="K739" s="9">
        <v>19437.317302817999</v>
      </c>
      <c r="L739" s="10">
        <v>8</v>
      </c>
      <c r="M739" s="10">
        <v>0</v>
      </c>
      <c r="N739" s="9">
        <v>0</v>
      </c>
      <c r="O739" s="9">
        <f t="shared" si="4"/>
        <v>4750</v>
      </c>
      <c r="P739" s="9">
        <f t="shared" si="5"/>
        <v>3800</v>
      </c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spans="1:42" ht="13.2" x14ac:dyDescent="0.25">
      <c r="A740" s="3" t="s">
        <v>408</v>
      </c>
      <c r="B740" s="7">
        <v>44378</v>
      </c>
      <c r="C740" s="3" t="s">
        <v>39</v>
      </c>
      <c r="D740" s="8">
        <v>50.296318177402696</v>
      </c>
      <c r="E740" s="8">
        <v>97.929021421692312</v>
      </c>
      <c r="F740" s="9">
        <v>22359.612754613026</v>
      </c>
      <c r="G740" s="10">
        <v>-1</v>
      </c>
      <c r="H740" s="9">
        <v>40000</v>
      </c>
      <c r="I740" s="10">
        <v>1</v>
      </c>
      <c r="J740" s="9">
        <v>40000</v>
      </c>
      <c r="K740" s="9">
        <v>3232.9513375510473</v>
      </c>
      <c r="L740" s="10">
        <v>6</v>
      </c>
      <c r="M740" s="10">
        <v>0</v>
      </c>
      <c r="N740" s="9">
        <v>0</v>
      </c>
      <c r="O740" s="9">
        <f t="shared" si="4"/>
        <v>1000</v>
      </c>
      <c r="P740" s="9">
        <f t="shared" si="5"/>
        <v>800</v>
      </c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spans="1:42" ht="13.2" x14ac:dyDescent="0.25">
      <c r="A741" s="3" t="s">
        <v>315</v>
      </c>
      <c r="B741" s="7">
        <v>44378</v>
      </c>
      <c r="C741" s="3" t="s">
        <v>39</v>
      </c>
      <c r="D741" s="8">
        <v>3</v>
      </c>
      <c r="E741" s="8">
        <v>60</v>
      </c>
      <c r="F741" s="9">
        <v>5773.3300751928755</v>
      </c>
      <c r="G741" s="10">
        <v>1</v>
      </c>
      <c r="H741" s="9">
        <v>10000</v>
      </c>
      <c r="I741" s="10">
        <v>0</v>
      </c>
      <c r="J741" s="9">
        <v>0</v>
      </c>
      <c r="K741" s="9">
        <v>0</v>
      </c>
      <c r="L741" s="10">
        <v>0</v>
      </c>
      <c r="M741" s="10">
        <v>0</v>
      </c>
      <c r="N741" s="9">
        <v>0</v>
      </c>
      <c r="O741" s="9">
        <f t="shared" si="4"/>
        <v>0</v>
      </c>
      <c r="P741" s="9">
        <f t="shared" si="5"/>
        <v>0</v>
      </c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spans="1:42" ht="13.2" x14ac:dyDescent="0.25">
      <c r="A742" s="3" t="s">
        <v>447</v>
      </c>
      <c r="B742" s="7">
        <v>44378</v>
      </c>
      <c r="C742" s="3" t="s">
        <v>36</v>
      </c>
      <c r="D742" s="8">
        <v>103.49091530058942</v>
      </c>
      <c r="E742" s="8">
        <v>60</v>
      </c>
      <c r="F742" s="9">
        <v>1324863.6682771652</v>
      </c>
      <c r="G742" s="10">
        <v>1</v>
      </c>
      <c r="H742" s="9">
        <v>1060000</v>
      </c>
      <c r="I742" s="10">
        <v>0</v>
      </c>
      <c r="J742" s="9">
        <v>0</v>
      </c>
      <c r="K742" s="9">
        <v>0</v>
      </c>
      <c r="L742" s="10">
        <v>0</v>
      </c>
      <c r="M742" s="10">
        <v>0</v>
      </c>
      <c r="N742" s="9">
        <v>0</v>
      </c>
      <c r="O742" s="9">
        <f t="shared" si="4"/>
        <v>0</v>
      </c>
      <c r="P742" s="9">
        <f t="shared" si="5"/>
        <v>0</v>
      </c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spans="1:42" ht="13.2" x14ac:dyDescent="0.25">
      <c r="A743" s="3" t="s">
        <v>411</v>
      </c>
      <c r="B743" s="7">
        <v>44378</v>
      </c>
      <c r="C743" s="3" t="s">
        <v>39</v>
      </c>
      <c r="D743" s="8">
        <v>3</v>
      </c>
      <c r="E743" s="8">
        <v>60</v>
      </c>
      <c r="F743" s="9">
        <v>24347.769120296805</v>
      </c>
      <c r="G743" s="10">
        <v>-1</v>
      </c>
      <c r="H743" s="9">
        <v>40000</v>
      </c>
      <c r="I743" s="10">
        <v>0</v>
      </c>
      <c r="J743" s="9">
        <v>0</v>
      </c>
      <c r="K743" s="9">
        <v>0</v>
      </c>
      <c r="L743" s="10">
        <v>0</v>
      </c>
      <c r="M743" s="10">
        <v>0</v>
      </c>
      <c r="N743" s="9">
        <v>0</v>
      </c>
      <c r="O743" s="9">
        <f t="shared" si="4"/>
        <v>0</v>
      </c>
      <c r="P743" s="9">
        <f t="shared" si="5"/>
        <v>0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spans="1:42" ht="13.2" x14ac:dyDescent="0.25">
      <c r="A744" s="3" t="s">
        <v>320</v>
      </c>
      <c r="B744" s="7">
        <v>44378</v>
      </c>
      <c r="C744" s="3" t="s">
        <v>36</v>
      </c>
      <c r="D744" s="8">
        <v>3</v>
      </c>
      <c r="E744" s="8">
        <v>60</v>
      </c>
      <c r="F744" s="9">
        <v>25210.831751639766</v>
      </c>
      <c r="G744" s="10">
        <v>0</v>
      </c>
      <c r="H744" s="9">
        <v>60000</v>
      </c>
      <c r="I744" s="10">
        <v>0</v>
      </c>
      <c r="J744" s="9">
        <v>0</v>
      </c>
      <c r="K744" s="9">
        <v>0</v>
      </c>
      <c r="L744" s="10">
        <v>0</v>
      </c>
      <c r="M744" s="10">
        <v>0</v>
      </c>
      <c r="N744" s="9">
        <v>0</v>
      </c>
      <c r="O744" s="9">
        <f t="shared" si="4"/>
        <v>0</v>
      </c>
      <c r="P744" s="9">
        <f t="shared" si="5"/>
        <v>0</v>
      </c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spans="1:42" ht="13.2" x14ac:dyDescent="0.25">
      <c r="A745" s="3" t="s">
        <v>245</v>
      </c>
      <c r="B745" s="7">
        <v>44378</v>
      </c>
      <c r="C745" s="3" t="s">
        <v>36</v>
      </c>
      <c r="D745" s="8">
        <v>7.1352751121988724</v>
      </c>
      <c r="E745" s="8">
        <v>213.6957944802802</v>
      </c>
      <c r="F745" s="9">
        <v>190098.83300281415</v>
      </c>
      <c r="G745" s="10">
        <v>-1</v>
      </c>
      <c r="H745" s="9">
        <v>190000</v>
      </c>
      <c r="I745" s="10">
        <v>0</v>
      </c>
      <c r="J745" s="9">
        <v>0</v>
      </c>
      <c r="K745" s="9">
        <v>0</v>
      </c>
      <c r="L745" s="10">
        <v>0</v>
      </c>
      <c r="M745" s="10">
        <v>0</v>
      </c>
      <c r="N745" s="9">
        <v>0</v>
      </c>
      <c r="O745" s="9">
        <f t="shared" si="4"/>
        <v>0</v>
      </c>
      <c r="P745" s="9">
        <f t="shared" si="5"/>
        <v>0</v>
      </c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spans="1:42" ht="13.2" x14ac:dyDescent="0.25">
      <c r="A746" s="3" t="s">
        <v>448</v>
      </c>
      <c r="B746" s="7">
        <v>44378</v>
      </c>
      <c r="C746" s="3" t="s">
        <v>36</v>
      </c>
      <c r="D746" s="8">
        <v>11.067145771504487</v>
      </c>
      <c r="E746" s="8">
        <v>115.39937793897585</v>
      </c>
      <c r="F746" s="9">
        <v>38663.396552156773</v>
      </c>
      <c r="G746" s="10">
        <v>-1</v>
      </c>
      <c r="H746" s="9">
        <v>70000</v>
      </c>
      <c r="I746" s="10">
        <v>0</v>
      </c>
      <c r="J746" s="9">
        <v>0</v>
      </c>
      <c r="K746" s="9">
        <v>0</v>
      </c>
      <c r="L746" s="10">
        <v>0</v>
      </c>
      <c r="M746" s="10">
        <v>0</v>
      </c>
      <c r="N746" s="9">
        <v>0</v>
      </c>
      <c r="O746" s="9">
        <f t="shared" si="4"/>
        <v>0</v>
      </c>
      <c r="P746" s="9">
        <f t="shared" si="5"/>
        <v>0</v>
      </c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spans="1:42" ht="13.2" x14ac:dyDescent="0.25">
      <c r="A747" s="3" t="s">
        <v>449</v>
      </c>
      <c r="B747" s="7">
        <v>44378</v>
      </c>
      <c r="C747" s="3" t="s">
        <v>39</v>
      </c>
      <c r="D747" s="8">
        <v>16.291188111750213</v>
      </c>
      <c r="E747" s="8">
        <v>330.55999216012799</v>
      </c>
      <c r="F747" s="9">
        <v>9824.5476900149824</v>
      </c>
      <c r="G747" s="10">
        <v>-1</v>
      </c>
      <c r="H747" s="9">
        <v>10000</v>
      </c>
      <c r="I747" s="10">
        <v>0</v>
      </c>
      <c r="J747" s="9">
        <v>0</v>
      </c>
      <c r="K747" s="9">
        <v>0</v>
      </c>
      <c r="L747" s="10">
        <v>0</v>
      </c>
      <c r="M747" s="10">
        <v>0</v>
      </c>
      <c r="N747" s="9">
        <v>0</v>
      </c>
      <c r="O747" s="9">
        <f t="shared" si="4"/>
        <v>0</v>
      </c>
      <c r="P747" s="9">
        <f t="shared" si="5"/>
        <v>0</v>
      </c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spans="1:42" ht="13.2" x14ac:dyDescent="0.25">
      <c r="A748" s="3" t="s">
        <v>450</v>
      </c>
      <c r="B748" s="7">
        <v>44378</v>
      </c>
      <c r="C748" s="3" t="s">
        <v>63</v>
      </c>
      <c r="D748" s="8">
        <v>18.081696060160162</v>
      </c>
      <c r="E748" s="8">
        <v>228.41559460785396</v>
      </c>
      <c r="F748" s="9">
        <v>38759.616817768467</v>
      </c>
      <c r="G748" s="10">
        <v>0</v>
      </c>
      <c r="H748" s="9">
        <v>58333.333333333336</v>
      </c>
      <c r="I748" s="10">
        <v>1</v>
      </c>
      <c r="J748" s="9">
        <v>58333.333333333336</v>
      </c>
      <c r="K748" s="9">
        <v>6671.5962516606414</v>
      </c>
      <c r="L748" s="10">
        <v>12</v>
      </c>
      <c r="M748" s="10">
        <v>0</v>
      </c>
      <c r="N748" s="9">
        <v>0</v>
      </c>
      <c r="O748" s="9">
        <f t="shared" si="4"/>
        <v>1458.3333333333335</v>
      </c>
      <c r="P748" s="9">
        <f t="shared" si="5"/>
        <v>1166.6666666666667</v>
      </c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spans="1:42" ht="13.2" x14ac:dyDescent="0.25">
      <c r="A749" s="3" t="s">
        <v>451</v>
      </c>
      <c r="B749" s="7">
        <v>44378</v>
      </c>
      <c r="C749" s="3" t="s">
        <v>36</v>
      </c>
      <c r="D749" s="8">
        <v>74.856627296691585</v>
      </c>
      <c r="E749" s="8">
        <v>352.09793464507959</v>
      </c>
      <c r="F749" s="9">
        <v>15224.728073126498</v>
      </c>
      <c r="G749" s="10">
        <v>0</v>
      </c>
      <c r="H749" s="9">
        <v>10000</v>
      </c>
      <c r="I749" s="10">
        <v>1</v>
      </c>
      <c r="J749" s="9">
        <v>10000</v>
      </c>
      <c r="K749" s="9">
        <v>522.70271987701335</v>
      </c>
      <c r="L749" s="10">
        <v>4</v>
      </c>
      <c r="M749" s="10">
        <v>0</v>
      </c>
      <c r="N749" s="9">
        <v>0</v>
      </c>
      <c r="O749" s="9">
        <f t="shared" si="4"/>
        <v>250</v>
      </c>
      <c r="P749" s="9">
        <f t="shared" si="5"/>
        <v>200</v>
      </c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spans="1:42" ht="13.2" x14ac:dyDescent="0.25">
      <c r="A750" s="3" t="s">
        <v>452</v>
      </c>
      <c r="B750" s="7">
        <v>44378</v>
      </c>
      <c r="C750" s="3" t="s">
        <v>36</v>
      </c>
      <c r="D750" s="8">
        <v>4.2658788190059198</v>
      </c>
      <c r="E750" s="8">
        <v>280.30999075944339</v>
      </c>
      <c r="F750" s="9">
        <v>80433.623857431419</v>
      </c>
      <c r="G750" s="10">
        <v>1</v>
      </c>
      <c r="H750" s="9">
        <v>70000</v>
      </c>
      <c r="I750" s="10">
        <v>0</v>
      </c>
      <c r="J750" s="9">
        <v>0</v>
      </c>
      <c r="K750" s="9">
        <v>0</v>
      </c>
      <c r="L750" s="10">
        <v>0</v>
      </c>
      <c r="M750" s="10">
        <v>0</v>
      </c>
      <c r="N750" s="9">
        <v>0</v>
      </c>
      <c r="O750" s="9">
        <f t="shared" si="4"/>
        <v>0</v>
      </c>
      <c r="P750" s="9">
        <f t="shared" si="5"/>
        <v>0</v>
      </c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spans="1:42" ht="13.2" x14ac:dyDescent="0.25">
      <c r="A751" s="3" t="s">
        <v>290</v>
      </c>
      <c r="B751" s="7">
        <v>44378</v>
      </c>
      <c r="C751" s="3" t="s">
        <v>36</v>
      </c>
      <c r="D751" s="8">
        <v>27.920582985991906</v>
      </c>
      <c r="E751" s="8">
        <v>148.92582872645667</v>
      </c>
      <c r="F751" s="9">
        <v>9779.4643023276203</v>
      </c>
      <c r="G751" s="10">
        <v>0</v>
      </c>
      <c r="H751" s="9">
        <v>10000</v>
      </c>
      <c r="I751" s="10">
        <v>1</v>
      </c>
      <c r="J751" s="9">
        <v>10000</v>
      </c>
      <c r="K751" s="9">
        <v>1080.3984150059953</v>
      </c>
      <c r="L751" s="10">
        <v>6</v>
      </c>
      <c r="M751" s="10">
        <v>0</v>
      </c>
      <c r="N751" s="9">
        <v>0</v>
      </c>
      <c r="O751" s="9">
        <f t="shared" si="4"/>
        <v>250</v>
      </c>
      <c r="P751" s="9">
        <f t="shared" si="5"/>
        <v>200</v>
      </c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spans="1:42" ht="13.2" x14ac:dyDescent="0.25">
      <c r="A752" s="3" t="s">
        <v>362</v>
      </c>
      <c r="B752" s="7">
        <v>44378</v>
      </c>
      <c r="C752" s="3" t="s">
        <v>36</v>
      </c>
      <c r="D752" s="8">
        <v>10.916122085150622</v>
      </c>
      <c r="E752" s="8">
        <v>60</v>
      </c>
      <c r="F752" s="9">
        <v>23203.2700849143</v>
      </c>
      <c r="G752" s="10">
        <v>-1</v>
      </c>
      <c r="H752" s="9">
        <v>40000</v>
      </c>
      <c r="I752" s="10">
        <v>0</v>
      </c>
      <c r="J752" s="9">
        <v>0</v>
      </c>
      <c r="K752" s="9">
        <v>0</v>
      </c>
      <c r="L752" s="10">
        <v>0</v>
      </c>
      <c r="M752" s="10">
        <v>0</v>
      </c>
      <c r="N752" s="9">
        <v>0</v>
      </c>
      <c r="O752" s="9">
        <f t="shared" si="4"/>
        <v>0</v>
      </c>
      <c r="P752" s="9">
        <f t="shared" si="5"/>
        <v>0</v>
      </c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spans="1:42" ht="13.2" x14ac:dyDescent="0.25">
      <c r="A753" s="3" t="s">
        <v>57</v>
      </c>
      <c r="B753" s="7">
        <v>44409</v>
      </c>
      <c r="C753" s="3" t="s">
        <v>36</v>
      </c>
      <c r="D753" s="8">
        <v>36.766566781926798</v>
      </c>
      <c r="E753" s="8">
        <v>60</v>
      </c>
      <c r="F753" s="9">
        <v>160836.03780229937</v>
      </c>
      <c r="G753" s="10">
        <v>1</v>
      </c>
      <c r="H753" s="9">
        <v>310000</v>
      </c>
      <c r="I753" s="10">
        <v>1</v>
      </c>
      <c r="J753" s="9">
        <v>310000</v>
      </c>
      <c r="K753" s="9">
        <v>74664.010586806558</v>
      </c>
      <c r="L753" s="10">
        <v>13</v>
      </c>
      <c r="M753" s="10">
        <v>0</v>
      </c>
      <c r="N753" s="9">
        <v>0</v>
      </c>
      <c r="O753" s="9">
        <f t="shared" si="4"/>
        <v>7750</v>
      </c>
      <c r="P753" s="9">
        <f t="shared" si="5"/>
        <v>6200</v>
      </c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spans="1:42" ht="13.2" x14ac:dyDescent="0.25">
      <c r="A754" s="3" t="s">
        <v>246</v>
      </c>
      <c r="B754" s="7">
        <v>44409</v>
      </c>
      <c r="C754" s="3" t="s">
        <v>36</v>
      </c>
      <c r="D754" s="8">
        <v>16.716346995896323</v>
      </c>
      <c r="E754" s="8">
        <v>201.69982217758005</v>
      </c>
      <c r="F754" s="9">
        <v>44511.201319777632</v>
      </c>
      <c r="G754" s="10">
        <v>-1</v>
      </c>
      <c r="H754" s="9">
        <v>30000</v>
      </c>
      <c r="I754" s="10">
        <v>1</v>
      </c>
      <c r="J754" s="9">
        <v>30000</v>
      </c>
      <c r="K754" s="9">
        <v>79.668257217226824</v>
      </c>
      <c r="L754" s="10">
        <v>6</v>
      </c>
      <c r="M754" s="10">
        <v>0</v>
      </c>
      <c r="N754" s="9">
        <v>0</v>
      </c>
      <c r="O754" s="9">
        <f t="shared" si="4"/>
        <v>750</v>
      </c>
      <c r="P754" s="9">
        <f t="shared" si="5"/>
        <v>600</v>
      </c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spans="1:42" ht="13.2" x14ac:dyDescent="0.25">
      <c r="A755" s="3" t="s">
        <v>453</v>
      </c>
      <c r="B755" s="7">
        <v>44409</v>
      </c>
      <c r="C755" s="3" t="s">
        <v>39</v>
      </c>
      <c r="D755" s="8">
        <v>49.527096191078435</v>
      </c>
      <c r="E755" s="8">
        <v>319.69044487952772</v>
      </c>
      <c r="F755" s="9">
        <v>414612.69714159751</v>
      </c>
      <c r="G755" s="10">
        <v>-1</v>
      </c>
      <c r="H755" s="9">
        <v>350000</v>
      </c>
      <c r="I755" s="10">
        <v>1</v>
      </c>
      <c r="J755" s="9">
        <v>350000</v>
      </c>
      <c r="K755" s="9">
        <v>13577.925933393621</v>
      </c>
      <c r="L755" s="10">
        <v>6</v>
      </c>
      <c r="M755" s="10">
        <v>1</v>
      </c>
      <c r="N755" s="9">
        <v>234543</v>
      </c>
      <c r="O755" s="9">
        <f t="shared" si="4"/>
        <v>8750</v>
      </c>
      <c r="P755" s="9">
        <f t="shared" si="5"/>
        <v>7000</v>
      </c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spans="1:42" ht="13.2" x14ac:dyDescent="0.25">
      <c r="A756" s="3" t="s">
        <v>372</v>
      </c>
      <c r="B756" s="7">
        <v>44409</v>
      </c>
      <c r="C756" s="3" t="s">
        <v>36</v>
      </c>
      <c r="D756" s="8">
        <v>147.7656376306692</v>
      </c>
      <c r="E756" s="8">
        <v>281.03888573570174</v>
      </c>
      <c r="F756" s="9">
        <v>30737.766276995822</v>
      </c>
      <c r="G756" s="10">
        <v>1</v>
      </c>
      <c r="H756" s="9">
        <v>20000</v>
      </c>
      <c r="I756" s="10">
        <v>1</v>
      </c>
      <c r="J756" s="9">
        <v>20000</v>
      </c>
      <c r="K756" s="9">
        <v>1441.083978762314</v>
      </c>
      <c r="L756" s="10">
        <v>6</v>
      </c>
      <c r="M756" s="10">
        <v>0</v>
      </c>
      <c r="N756" s="9">
        <v>0</v>
      </c>
      <c r="O756" s="9">
        <f t="shared" si="4"/>
        <v>500</v>
      </c>
      <c r="P756" s="9">
        <f t="shared" si="5"/>
        <v>400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spans="1:42" ht="13.2" x14ac:dyDescent="0.25">
      <c r="A757" s="3" t="s">
        <v>373</v>
      </c>
      <c r="B757" s="7">
        <v>44409</v>
      </c>
      <c r="C757" s="3" t="s">
        <v>36</v>
      </c>
      <c r="D757" s="8">
        <v>24.787180745016382</v>
      </c>
      <c r="E757" s="8">
        <v>217.25824881968691</v>
      </c>
      <c r="F757" s="9">
        <v>351491.57595692802</v>
      </c>
      <c r="G757" s="10">
        <v>-1</v>
      </c>
      <c r="H757" s="9">
        <v>230000</v>
      </c>
      <c r="I757" s="10">
        <v>1</v>
      </c>
      <c r="J757" s="9">
        <v>230000</v>
      </c>
      <c r="K757" s="9">
        <v>21946.689911161593</v>
      </c>
      <c r="L757" s="10">
        <v>6</v>
      </c>
      <c r="M757" s="10">
        <v>0</v>
      </c>
      <c r="N757" s="9">
        <v>0</v>
      </c>
      <c r="O757" s="9">
        <f t="shared" si="4"/>
        <v>5750</v>
      </c>
      <c r="P757" s="9">
        <f t="shared" si="5"/>
        <v>4600</v>
      </c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spans="1:42" ht="13.2" x14ac:dyDescent="0.25">
      <c r="A758" s="3" t="s">
        <v>339</v>
      </c>
      <c r="B758" s="7">
        <v>44409</v>
      </c>
      <c r="C758" s="3" t="s">
        <v>36</v>
      </c>
      <c r="D758" s="8">
        <v>53.890036068977388</v>
      </c>
      <c r="E758" s="8">
        <v>131.03748446477567</v>
      </c>
      <c r="F758" s="9">
        <v>24627.317582496107</v>
      </c>
      <c r="G758" s="10">
        <v>-1</v>
      </c>
      <c r="H758" s="9">
        <v>40000</v>
      </c>
      <c r="I758" s="10">
        <v>0</v>
      </c>
      <c r="J758" s="9">
        <v>0</v>
      </c>
      <c r="K758" s="9">
        <v>0</v>
      </c>
      <c r="L758" s="10">
        <v>0</v>
      </c>
      <c r="M758" s="10">
        <v>0</v>
      </c>
      <c r="N758" s="9">
        <v>0</v>
      </c>
      <c r="O758" s="9">
        <f t="shared" si="4"/>
        <v>0</v>
      </c>
      <c r="P758" s="9">
        <f t="shared" si="5"/>
        <v>0</v>
      </c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spans="1:42" ht="13.2" x14ac:dyDescent="0.25">
      <c r="A759" s="3" t="s">
        <v>443</v>
      </c>
      <c r="B759" s="7">
        <v>44409</v>
      </c>
      <c r="C759" s="3" t="s">
        <v>36</v>
      </c>
      <c r="D759" s="8">
        <v>11.532687840480577</v>
      </c>
      <c r="E759" s="8">
        <v>60</v>
      </c>
      <c r="F759" s="9">
        <v>537619.78535906086</v>
      </c>
      <c r="G759" s="10">
        <v>-1</v>
      </c>
      <c r="H759" s="9">
        <v>960000</v>
      </c>
      <c r="I759" s="10">
        <v>1</v>
      </c>
      <c r="J759" s="9">
        <v>960000</v>
      </c>
      <c r="K759" s="9">
        <v>123179.01682559866</v>
      </c>
      <c r="L759" s="10">
        <v>8</v>
      </c>
      <c r="M759" s="10">
        <v>0</v>
      </c>
      <c r="N759" s="9">
        <v>0</v>
      </c>
      <c r="O759" s="9">
        <f t="shared" si="4"/>
        <v>24000</v>
      </c>
      <c r="P759" s="9">
        <f t="shared" si="5"/>
        <v>19200</v>
      </c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spans="1:42" ht="13.2" x14ac:dyDescent="0.25">
      <c r="A760" s="3" t="s">
        <v>454</v>
      </c>
      <c r="B760" s="7">
        <v>44409</v>
      </c>
      <c r="C760" s="3" t="s">
        <v>36</v>
      </c>
      <c r="D760" s="8">
        <v>29.227322142927186</v>
      </c>
      <c r="E760" s="8">
        <v>60</v>
      </c>
      <c r="F760" s="9">
        <v>59215.263859107414</v>
      </c>
      <c r="G760" s="10">
        <v>-1</v>
      </c>
      <c r="H760" s="9">
        <v>90000</v>
      </c>
      <c r="I760" s="10">
        <v>0</v>
      </c>
      <c r="J760" s="9">
        <v>0</v>
      </c>
      <c r="K760" s="9">
        <v>0</v>
      </c>
      <c r="L760" s="10">
        <v>0</v>
      </c>
      <c r="M760" s="10">
        <v>0</v>
      </c>
      <c r="N760" s="9">
        <v>0</v>
      </c>
      <c r="O760" s="9">
        <f t="shared" si="4"/>
        <v>0</v>
      </c>
      <c r="P760" s="9">
        <f t="shared" si="5"/>
        <v>0</v>
      </c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spans="1:42" ht="13.2" x14ac:dyDescent="0.25">
      <c r="A761" s="3" t="s">
        <v>455</v>
      </c>
      <c r="B761" s="7">
        <v>44409</v>
      </c>
      <c r="C761" s="3" t="s">
        <v>36</v>
      </c>
      <c r="D761" s="8">
        <v>9.3954171712014087</v>
      </c>
      <c r="E761" s="8">
        <v>103.62445424224802</v>
      </c>
      <c r="F761" s="9">
        <v>135597.47929443672</v>
      </c>
      <c r="G761" s="10">
        <v>-1</v>
      </c>
      <c r="H761" s="9">
        <v>250000</v>
      </c>
      <c r="I761" s="10">
        <v>0</v>
      </c>
      <c r="J761" s="9">
        <v>0</v>
      </c>
      <c r="K761" s="9">
        <v>0</v>
      </c>
      <c r="L761" s="10">
        <v>0</v>
      </c>
      <c r="M761" s="10">
        <v>0</v>
      </c>
      <c r="N761" s="9">
        <v>0</v>
      </c>
      <c r="O761" s="9">
        <f t="shared" si="4"/>
        <v>0</v>
      </c>
      <c r="P761" s="9">
        <f t="shared" si="5"/>
        <v>0</v>
      </c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spans="1:42" ht="13.2" x14ac:dyDescent="0.25">
      <c r="A762" s="3" t="s">
        <v>187</v>
      </c>
      <c r="B762" s="7">
        <v>44409</v>
      </c>
      <c r="C762" s="3" t="s">
        <v>36</v>
      </c>
      <c r="D762" s="8">
        <v>26.135112202157838</v>
      </c>
      <c r="E762" s="8">
        <v>200.7375246712156</v>
      </c>
      <c r="F762" s="9">
        <v>112952.20940138146</v>
      </c>
      <c r="G762" s="10">
        <v>1</v>
      </c>
      <c r="H762" s="9">
        <v>140000</v>
      </c>
      <c r="I762" s="10">
        <v>0</v>
      </c>
      <c r="J762" s="9">
        <v>0</v>
      </c>
      <c r="K762" s="9">
        <v>0</v>
      </c>
      <c r="L762" s="10">
        <v>0</v>
      </c>
      <c r="M762" s="10">
        <v>0</v>
      </c>
      <c r="N762" s="9">
        <v>0</v>
      </c>
      <c r="O762" s="9">
        <f t="shared" si="4"/>
        <v>0</v>
      </c>
      <c r="P762" s="9">
        <f t="shared" si="5"/>
        <v>0</v>
      </c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spans="1:42" ht="13.2" x14ac:dyDescent="0.25">
      <c r="A763" s="3" t="s">
        <v>253</v>
      </c>
      <c r="B763" s="7">
        <v>44409</v>
      </c>
      <c r="C763" s="3" t="s">
        <v>36</v>
      </c>
      <c r="D763" s="8">
        <v>15.126004649927875</v>
      </c>
      <c r="E763" s="8">
        <v>121.83357035740914</v>
      </c>
      <c r="F763" s="9">
        <v>25689.16763472047</v>
      </c>
      <c r="G763" s="10">
        <v>-1</v>
      </c>
      <c r="H763" s="9">
        <v>30000</v>
      </c>
      <c r="I763" s="10">
        <v>1</v>
      </c>
      <c r="J763" s="9">
        <v>30000</v>
      </c>
      <c r="K763" s="9">
        <v>3253.3330919443033</v>
      </c>
      <c r="L763" s="10">
        <v>6</v>
      </c>
      <c r="M763" s="10">
        <v>0</v>
      </c>
      <c r="N763" s="9">
        <v>0</v>
      </c>
      <c r="O763" s="9">
        <f t="shared" si="4"/>
        <v>750</v>
      </c>
      <c r="P763" s="9">
        <f t="shared" si="5"/>
        <v>600</v>
      </c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spans="1:42" ht="13.2" x14ac:dyDescent="0.25">
      <c r="A764" s="3" t="s">
        <v>456</v>
      </c>
      <c r="B764" s="7">
        <v>44409</v>
      </c>
      <c r="C764" s="3" t="s">
        <v>36</v>
      </c>
      <c r="D764" s="8">
        <v>3</v>
      </c>
      <c r="E764" s="8">
        <v>158.95126323797436</v>
      </c>
      <c r="F764" s="9">
        <v>34805.502502004463</v>
      </c>
      <c r="G764" s="10">
        <v>0</v>
      </c>
      <c r="H764" s="9">
        <v>50000</v>
      </c>
      <c r="I764" s="10">
        <v>0</v>
      </c>
      <c r="J764" s="9">
        <v>0</v>
      </c>
      <c r="K764" s="9">
        <v>0</v>
      </c>
      <c r="L764" s="10">
        <v>0</v>
      </c>
      <c r="M764" s="10">
        <v>0</v>
      </c>
      <c r="N764" s="9">
        <v>0</v>
      </c>
      <c r="O764" s="9">
        <f t="shared" si="4"/>
        <v>0</v>
      </c>
      <c r="P764" s="9">
        <f t="shared" si="5"/>
        <v>0</v>
      </c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spans="1:42" ht="13.2" x14ac:dyDescent="0.25">
      <c r="A765" s="3" t="s">
        <v>149</v>
      </c>
      <c r="B765" s="7">
        <v>44409</v>
      </c>
      <c r="C765" s="3" t="s">
        <v>63</v>
      </c>
      <c r="D765" s="8">
        <v>94.2643626721582</v>
      </c>
      <c r="E765" s="8">
        <v>213.45037138318332</v>
      </c>
      <c r="F765" s="9">
        <v>104714.08888564308</v>
      </c>
      <c r="G765" s="10">
        <v>1</v>
      </c>
      <c r="H765" s="9">
        <v>70000</v>
      </c>
      <c r="I765" s="10">
        <v>1</v>
      </c>
      <c r="J765" s="9">
        <v>70000</v>
      </c>
      <c r="K765" s="9">
        <v>1394.6336167360764</v>
      </c>
      <c r="L765" s="10">
        <v>8</v>
      </c>
      <c r="M765" s="10">
        <v>0</v>
      </c>
      <c r="N765" s="9">
        <v>0</v>
      </c>
      <c r="O765" s="9">
        <f t="shared" si="4"/>
        <v>1750</v>
      </c>
      <c r="P765" s="9">
        <f t="shared" si="5"/>
        <v>1400</v>
      </c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spans="1:42" ht="13.2" x14ac:dyDescent="0.25">
      <c r="A766" s="3" t="s">
        <v>457</v>
      </c>
      <c r="B766" s="7">
        <v>44409</v>
      </c>
      <c r="C766" s="3" t="s">
        <v>36</v>
      </c>
      <c r="D766" s="8">
        <v>3</v>
      </c>
      <c r="E766" s="8">
        <v>60</v>
      </c>
      <c r="F766" s="9">
        <v>14824.099381569442</v>
      </c>
      <c r="G766" s="10">
        <v>1</v>
      </c>
      <c r="H766" s="9">
        <v>20000</v>
      </c>
      <c r="I766" s="10">
        <v>0</v>
      </c>
      <c r="J766" s="9">
        <v>0</v>
      </c>
      <c r="K766" s="9">
        <v>0</v>
      </c>
      <c r="L766" s="10">
        <v>0</v>
      </c>
      <c r="M766" s="10">
        <v>0</v>
      </c>
      <c r="N766" s="9">
        <v>0</v>
      </c>
      <c r="O766" s="9">
        <f t="shared" si="4"/>
        <v>0</v>
      </c>
      <c r="P766" s="9">
        <f t="shared" si="5"/>
        <v>0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spans="1:42" ht="13.2" x14ac:dyDescent="0.25">
      <c r="A767" s="3" t="s">
        <v>416</v>
      </c>
      <c r="B767" s="7">
        <v>44409</v>
      </c>
      <c r="C767" s="3" t="s">
        <v>36</v>
      </c>
      <c r="D767" s="8">
        <v>115.83815623544004</v>
      </c>
      <c r="E767" s="8">
        <v>60</v>
      </c>
      <c r="F767" s="9">
        <v>751988.29275428166</v>
      </c>
      <c r="G767" s="10">
        <v>1</v>
      </c>
      <c r="H767" s="9">
        <v>630000</v>
      </c>
      <c r="I767" s="10">
        <v>1</v>
      </c>
      <c r="J767" s="9">
        <v>630000</v>
      </c>
      <c r="K767" s="9">
        <v>75535.890633202391</v>
      </c>
      <c r="L767" s="10">
        <v>6</v>
      </c>
      <c r="M767" s="10">
        <v>1</v>
      </c>
      <c r="N767" s="9">
        <v>345434</v>
      </c>
      <c r="O767" s="9">
        <f t="shared" ref="O767:O960" si="6">2.5%*J767</f>
        <v>15750</v>
      </c>
      <c r="P767" s="9">
        <f t="shared" ref="P767:P960" si="7">2%*J767</f>
        <v>12600</v>
      </c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spans="1:42" ht="13.2" x14ac:dyDescent="0.25">
      <c r="A768" s="3" t="s">
        <v>70</v>
      </c>
      <c r="B768" s="7">
        <v>44409</v>
      </c>
      <c r="C768" s="3" t="s">
        <v>36</v>
      </c>
      <c r="D768" s="8">
        <v>101.21972264214645</v>
      </c>
      <c r="E768" s="8">
        <v>109.69187317552911</v>
      </c>
      <c r="F768" s="9">
        <v>73150.425146228517</v>
      </c>
      <c r="G768" s="10">
        <v>0</v>
      </c>
      <c r="H768" s="9">
        <v>50000</v>
      </c>
      <c r="I768" s="10">
        <v>1</v>
      </c>
      <c r="J768" s="9">
        <v>50000</v>
      </c>
      <c r="K768" s="9">
        <v>2803.0535047292497</v>
      </c>
      <c r="L768" s="10">
        <v>6</v>
      </c>
      <c r="M768" s="10">
        <v>0</v>
      </c>
      <c r="N768" s="9">
        <v>0</v>
      </c>
      <c r="O768" s="9">
        <f t="shared" si="6"/>
        <v>1250</v>
      </c>
      <c r="P768" s="9">
        <f t="shared" si="7"/>
        <v>1000</v>
      </c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spans="1:42" ht="13.2" x14ac:dyDescent="0.25">
      <c r="A769" s="3" t="s">
        <v>458</v>
      </c>
      <c r="B769" s="7">
        <v>44409</v>
      </c>
      <c r="C769" s="3" t="s">
        <v>36</v>
      </c>
      <c r="D769" s="8">
        <v>26.861668148706677</v>
      </c>
      <c r="E769" s="8">
        <v>182.25022058818439</v>
      </c>
      <c r="F769" s="9">
        <v>1551071.2167217107</v>
      </c>
      <c r="G769" s="10">
        <v>0</v>
      </c>
      <c r="H769" s="9">
        <v>1470000</v>
      </c>
      <c r="I769" s="10">
        <v>1</v>
      </c>
      <c r="J769" s="9">
        <v>1470000</v>
      </c>
      <c r="K769" s="9">
        <v>149043.54395725718</v>
      </c>
      <c r="L769" s="10">
        <v>12</v>
      </c>
      <c r="M769" s="10">
        <v>0</v>
      </c>
      <c r="N769" s="9">
        <v>0</v>
      </c>
      <c r="O769" s="9">
        <f t="shared" si="6"/>
        <v>36750</v>
      </c>
      <c r="P769" s="9">
        <f t="shared" si="7"/>
        <v>29400</v>
      </c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spans="1:42" ht="13.2" x14ac:dyDescent="0.25">
      <c r="A770" s="3" t="s">
        <v>459</v>
      </c>
      <c r="B770" s="7">
        <v>44409</v>
      </c>
      <c r="C770" s="3" t="s">
        <v>36</v>
      </c>
      <c r="D770" s="8">
        <v>60.616170755913828</v>
      </c>
      <c r="E770" s="8">
        <v>225.5956695648679</v>
      </c>
      <c r="F770" s="9">
        <v>559847.6880988006</v>
      </c>
      <c r="G770" s="10">
        <v>0</v>
      </c>
      <c r="H770" s="9">
        <v>360000</v>
      </c>
      <c r="I770" s="10">
        <v>0</v>
      </c>
      <c r="J770" s="9">
        <v>0</v>
      </c>
      <c r="K770" s="9">
        <v>0</v>
      </c>
      <c r="L770" s="10">
        <v>0</v>
      </c>
      <c r="M770" s="10">
        <v>0</v>
      </c>
      <c r="N770" s="9">
        <v>0</v>
      </c>
      <c r="O770" s="9">
        <f t="shared" si="6"/>
        <v>0</v>
      </c>
      <c r="P770" s="9">
        <f t="shared" si="7"/>
        <v>0</v>
      </c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spans="1:42" ht="13.2" x14ac:dyDescent="0.25">
      <c r="A771" s="3" t="s">
        <v>460</v>
      </c>
      <c r="B771" s="7">
        <v>44409</v>
      </c>
      <c r="C771" s="3" t="s">
        <v>36</v>
      </c>
      <c r="D771" s="8">
        <v>335.62857228387844</v>
      </c>
      <c r="E771" s="8">
        <v>101.90659287417157</v>
      </c>
      <c r="F771" s="9">
        <v>111963.32225196541</v>
      </c>
      <c r="G771" s="10">
        <v>0</v>
      </c>
      <c r="H771" s="9">
        <v>120000</v>
      </c>
      <c r="I771" s="10">
        <v>1</v>
      </c>
      <c r="J771" s="9">
        <v>120000</v>
      </c>
      <c r="K771" s="9">
        <v>8385.684064516643</v>
      </c>
      <c r="L771" s="10">
        <v>6</v>
      </c>
      <c r="M771" s="10">
        <v>0</v>
      </c>
      <c r="N771" s="9">
        <v>0</v>
      </c>
      <c r="O771" s="9">
        <f t="shared" si="6"/>
        <v>3000</v>
      </c>
      <c r="P771" s="9">
        <f t="shared" si="7"/>
        <v>2400</v>
      </c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spans="1:42" ht="13.2" x14ac:dyDescent="0.25">
      <c r="A772" s="3" t="s">
        <v>461</v>
      </c>
      <c r="B772" s="7">
        <v>44409</v>
      </c>
      <c r="C772" s="3" t="s">
        <v>36</v>
      </c>
      <c r="D772" s="8">
        <v>10.482286031476235</v>
      </c>
      <c r="E772" s="8">
        <v>256.56747298821017</v>
      </c>
      <c r="F772" s="9">
        <v>359586.10522254376</v>
      </c>
      <c r="G772" s="10">
        <v>-1</v>
      </c>
      <c r="H772" s="9">
        <v>280000</v>
      </c>
      <c r="I772" s="10">
        <v>1</v>
      </c>
      <c r="J772" s="9">
        <v>280000</v>
      </c>
      <c r="K772" s="9">
        <v>29229.423171948427</v>
      </c>
      <c r="L772" s="10">
        <v>12</v>
      </c>
      <c r="M772" s="10">
        <v>0</v>
      </c>
      <c r="N772" s="9">
        <v>0</v>
      </c>
      <c r="O772" s="9">
        <f t="shared" si="6"/>
        <v>7000</v>
      </c>
      <c r="P772" s="9">
        <f t="shared" si="7"/>
        <v>5600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spans="1:42" ht="13.2" x14ac:dyDescent="0.25">
      <c r="A773" s="3" t="s">
        <v>72</v>
      </c>
      <c r="B773" s="7">
        <v>44409</v>
      </c>
      <c r="C773" s="3" t="s">
        <v>36</v>
      </c>
      <c r="D773" s="8">
        <v>23.299294896980278</v>
      </c>
      <c r="E773" s="8">
        <v>359.12475755671181</v>
      </c>
      <c r="F773" s="9">
        <v>188983.33203523851</v>
      </c>
      <c r="G773" s="10">
        <v>0</v>
      </c>
      <c r="H773" s="9">
        <v>160000</v>
      </c>
      <c r="I773" s="10">
        <v>1</v>
      </c>
      <c r="J773" s="9">
        <v>160000</v>
      </c>
      <c r="K773" s="9">
        <v>10767.928657211514</v>
      </c>
      <c r="L773" s="10">
        <v>6</v>
      </c>
      <c r="M773" s="10">
        <v>0</v>
      </c>
      <c r="N773" s="9">
        <v>0</v>
      </c>
      <c r="O773" s="9">
        <f t="shared" si="6"/>
        <v>4000</v>
      </c>
      <c r="P773" s="9">
        <f t="shared" si="7"/>
        <v>3200</v>
      </c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spans="1:42" ht="13.2" x14ac:dyDescent="0.25">
      <c r="A774" s="3" t="s">
        <v>462</v>
      </c>
      <c r="B774" s="7">
        <v>44409</v>
      </c>
      <c r="C774" s="3" t="s">
        <v>63</v>
      </c>
      <c r="D774" s="8">
        <v>3</v>
      </c>
      <c r="E774" s="8">
        <v>222.65465436671212</v>
      </c>
      <c r="F774" s="9">
        <v>203405.19861727773</v>
      </c>
      <c r="G774" s="10">
        <v>-1</v>
      </c>
      <c r="H774" s="9">
        <v>240000</v>
      </c>
      <c r="I774" s="10">
        <v>0</v>
      </c>
      <c r="J774" s="9">
        <v>0</v>
      </c>
      <c r="K774" s="9">
        <v>0</v>
      </c>
      <c r="L774" s="10">
        <v>0</v>
      </c>
      <c r="M774" s="10">
        <v>0</v>
      </c>
      <c r="N774" s="9">
        <v>0</v>
      </c>
      <c r="O774" s="9">
        <f t="shared" si="6"/>
        <v>0</v>
      </c>
      <c r="P774" s="9">
        <f t="shared" si="7"/>
        <v>0</v>
      </c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spans="1:42" ht="13.2" x14ac:dyDescent="0.25">
      <c r="A775" s="3" t="s">
        <v>463</v>
      </c>
      <c r="B775" s="7">
        <v>44409</v>
      </c>
      <c r="C775" s="3" t="s">
        <v>36</v>
      </c>
      <c r="D775" s="8">
        <v>3</v>
      </c>
      <c r="E775" s="8">
        <v>153.73334852044772</v>
      </c>
      <c r="F775" s="9">
        <v>1080.4826554449976</v>
      </c>
      <c r="G775" s="10">
        <v>-1</v>
      </c>
      <c r="H775" s="9">
        <v>1666.6666666666667</v>
      </c>
      <c r="I775" s="10">
        <v>0</v>
      </c>
      <c r="J775" s="9">
        <v>0</v>
      </c>
      <c r="K775" s="9">
        <v>0</v>
      </c>
      <c r="L775" s="10">
        <v>0</v>
      </c>
      <c r="M775" s="10">
        <v>0</v>
      </c>
      <c r="N775" s="9">
        <v>0</v>
      </c>
      <c r="O775" s="9">
        <f t="shared" si="6"/>
        <v>0</v>
      </c>
      <c r="P775" s="9">
        <f t="shared" si="7"/>
        <v>0</v>
      </c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spans="1:42" ht="13.2" x14ac:dyDescent="0.25">
      <c r="A776" s="3" t="s">
        <v>256</v>
      </c>
      <c r="B776" s="7">
        <v>44409</v>
      </c>
      <c r="C776" s="3" t="s">
        <v>36</v>
      </c>
      <c r="D776" s="8">
        <v>3</v>
      </c>
      <c r="E776" s="8">
        <v>109.49988598920089</v>
      </c>
      <c r="F776" s="9">
        <v>17603.301768472138</v>
      </c>
      <c r="G776" s="10">
        <v>-1</v>
      </c>
      <c r="H776" s="9">
        <v>30000</v>
      </c>
      <c r="I776" s="10">
        <v>0</v>
      </c>
      <c r="J776" s="9">
        <v>0</v>
      </c>
      <c r="K776" s="9">
        <v>0</v>
      </c>
      <c r="L776" s="10">
        <v>0</v>
      </c>
      <c r="M776" s="10">
        <v>0</v>
      </c>
      <c r="N776" s="9">
        <v>0</v>
      </c>
      <c r="O776" s="9">
        <f t="shared" si="6"/>
        <v>0</v>
      </c>
      <c r="P776" s="9">
        <f t="shared" si="7"/>
        <v>0</v>
      </c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spans="1:42" ht="13.2" x14ac:dyDescent="0.25">
      <c r="A777" s="3" t="s">
        <v>464</v>
      </c>
      <c r="B777" s="7">
        <v>44409</v>
      </c>
      <c r="C777" s="3" t="s">
        <v>36</v>
      </c>
      <c r="D777" s="8">
        <v>13.709917485288912</v>
      </c>
      <c r="E777" s="8">
        <v>68.246936248647387</v>
      </c>
      <c r="F777" s="9">
        <v>15774.82454098241</v>
      </c>
      <c r="G777" s="10">
        <v>-1</v>
      </c>
      <c r="H777" s="9">
        <v>30000</v>
      </c>
      <c r="I777" s="10">
        <v>0</v>
      </c>
      <c r="J777" s="9">
        <v>0</v>
      </c>
      <c r="K777" s="9">
        <v>0</v>
      </c>
      <c r="L777" s="10">
        <v>0</v>
      </c>
      <c r="M777" s="10">
        <v>0</v>
      </c>
      <c r="N777" s="9">
        <v>0</v>
      </c>
      <c r="O777" s="9">
        <f t="shared" si="6"/>
        <v>0</v>
      </c>
      <c r="P777" s="9">
        <f t="shared" si="7"/>
        <v>0</v>
      </c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spans="1:42" ht="13.2" x14ac:dyDescent="0.25">
      <c r="A778" s="3" t="s">
        <v>465</v>
      </c>
      <c r="B778" s="7">
        <v>44409</v>
      </c>
      <c r="C778" s="3" t="s">
        <v>36</v>
      </c>
      <c r="D778" s="8">
        <v>25.186132262913013</v>
      </c>
      <c r="E778" s="8">
        <v>130.72226670303058</v>
      </c>
      <c r="F778" s="9">
        <v>48310.598335192175</v>
      </c>
      <c r="G778" s="10">
        <v>0</v>
      </c>
      <c r="H778" s="9">
        <v>80000</v>
      </c>
      <c r="I778" s="10">
        <v>0</v>
      </c>
      <c r="J778" s="9">
        <v>0</v>
      </c>
      <c r="K778" s="9">
        <v>0</v>
      </c>
      <c r="L778" s="10">
        <v>0</v>
      </c>
      <c r="M778" s="10">
        <v>0</v>
      </c>
      <c r="N778" s="9">
        <v>0</v>
      </c>
      <c r="O778" s="9">
        <f t="shared" si="6"/>
        <v>0</v>
      </c>
      <c r="P778" s="9">
        <f t="shared" si="7"/>
        <v>0</v>
      </c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spans="1:42" ht="13.2" x14ac:dyDescent="0.25">
      <c r="A779" s="3" t="s">
        <v>292</v>
      </c>
      <c r="B779" s="7">
        <v>44409</v>
      </c>
      <c r="C779" s="3" t="s">
        <v>36</v>
      </c>
      <c r="D779" s="8">
        <v>72.864745626272665</v>
      </c>
      <c r="E779" s="8">
        <v>200.80812932805674</v>
      </c>
      <c r="F779" s="9">
        <v>74466.875879023486</v>
      </c>
      <c r="G779" s="10">
        <v>-1</v>
      </c>
      <c r="H779" s="9">
        <v>50000</v>
      </c>
      <c r="I779" s="10">
        <v>1</v>
      </c>
      <c r="J779" s="9">
        <v>50000</v>
      </c>
      <c r="K779" s="9">
        <v>4279.4088887620446</v>
      </c>
      <c r="L779" s="10">
        <v>6</v>
      </c>
      <c r="M779" s="10">
        <v>0</v>
      </c>
      <c r="N779" s="9">
        <v>0</v>
      </c>
      <c r="O779" s="9">
        <f t="shared" si="6"/>
        <v>1250</v>
      </c>
      <c r="P779" s="9">
        <f t="shared" si="7"/>
        <v>1000</v>
      </c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spans="1:42" ht="13.2" x14ac:dyDescent="0.25">
      <c r="A780" s="3" t="s">
        <v>267</v>
      </c>
      <c r="B780" s="7">
        <v>44409</v>
      </c>
      <c r="C780" s="3" t="s">
        <v>63</v>
      </c>
      <c r="D780" s="8">
        <v>60.045407572590861</v>
      </c>
      <c r="E780" s="8">
        <v>333.5764222431556</v>
      </c>
      <c r="F780" s="9">
        <v>374730.00901342521</v>
      </c>
      <c r="G780" s="10">
        <v>-1</v>
      </c>
      <c r="H780" s="9">
        <v>240000</v>
      </c>
      <c r="I780" s="10">
        <v>1</v>
      </c>
      <c r="J780" s="9">
        <v>240000</v>
      </c>
      <c r="K780" s="9">
        <v>37490.808155994382</v>
      </c>
      <c r="L780" s="10">
        <v>12</v>
      </c>
      <c r="M780" s="10">
        <v>0</v>
      </c>
      <c r="N780" s="9">
        <v>0</v>
      </c>
      <c r="O780" s="9">
        <f t="shared" si="6"/>
        <v>6000</v>
      </c>
      <c r="P780" s="9">
        <f t="shared" si="7"/>
        <v>4800</v>
      </c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spans="1:42" ht="13.2" x14ac:dyDescent="0.25">
      <c r="A781" s="3" t="s">
        <v>37</v>
      </c>
      <c r="B781" s="7">
        <v>44409</v>
      </c>
      <c r="C781" s="3" t="s">
        <v>36</v>
      </c>
      <c r="D781" s="8">
        <v>106.42970004786051</v>
      </c>
      <c r="E781" s="8">
        <v>220.20687957317233</v>
      </c>
      <c r="F781" s="9">
        <v>217970.23939789605</v>
      </c>
      <c r="G781" s="10">
        <v>1</v>
      </c>
      <c r="H781" s="9">
        <v>190000</v>
      </c>
      <c r="I781" s="10">
        <v>1</v>
      </c>
      <c r="J781" s="9">
        <v>190000</v>
      </c>
      <c r="K781" s="9">
        <v>12405.396833256051</v>
      </c>
      <c r="L781" s="10">
        <v>8</v>
      </c>
      <c r="M781" s="10">
        <v>0</v>
      </c>
      <c r="N781" s="9">
        <v>0</v>
      </c>
      <c r="O781" s="9">
        <f t="shared" si="6"/>
        <v>4750</v>
      </c>
      <c r="P781" s="9">
        <f t="shared" si="7"/>
        <v>3800</v>
      </c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spans="1:42" ht="13.2" x14ac:dyDescent="0.25">
      <c r="A782" s="3" t="s">
        <v>380</v>
      </c>
      <c r="B782" s="7">
        <v>44409</v>
      </c>
      <c r="C782" s="3" t="s">
        <v>39</v>
      </c>
      <c r="D782" s="8">
        <v>82.493273289921802</v>
      </c>
      <c r="E782" s="8">
        <v>122.20201746100548</v>
      </c>
      <c r="F782" s="9">
        <v>957081.10220352723</v>
      </c>
      <c r="G782" s="10">
        <v>0</v>
      </c>
      <c r="H782" s="9">
        <v>640000</v>
      </c>
      <c r="I782" s="10">
        <v>1</v>
      </c>
      <c r="J782" s="9">
        <v>640000</v>
      </c>
      <c r="K782" s="9">
        <v>72868.628764542082</v>
      </c>
      <c r="L782" s="10">
        <v>12</v>
      </c>
      <c r="M782" s="10">
        <v>0</v>
      </c>
      <c r="N782" s="9">
        <v>0</v>
      </c>
      <c r="O782" s="9">
        <f t="shared" si="6"/>
        <v>16000</v>
      </c>
      <c r="P782" s="9">
        <f t="shared" si="7"/>
        <v>12800</v>
      </c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spans="1:42" ht="13.2" x14ac:dyDescent="0.25">
      <c r="A783" s="3" t="s">
        <v>175</v>
      </c>
      <c r="B783" s="7">
        <v>44409</v>
      </c>
      <c r="C783" s="3" t="s">
        <v>36</v>
      </c>
      <c r="D783" s="8">
        <v>12.352492567649648</v>
      </c>
      <c r="E783" s="8">
        <v>321.60822900879333</v>
      </c>
      <c r="F783" s="9">
        <v>454958.22426937631</v>
      </c>
      <c r="G783" s="10">
        <v>0</v>
      </c>
      <c r="H783" s="9">
        <v>320000</v>
      </c>
      <c r="I783" s="10">
        <v>1</v>
      </c>
      <c r="J783" s="9">
        <v>320000</v>
      </c>
      <c r="K783" s="9">
        <v>31270.142219962356</v>
      </c>
      <c r="L783" s="10">
        <v>6</v>
      </c>
      <c r="M783" s="10">
        <v>0</v>
      </c>
      <c r="N783" s="9">
        <v>0</v>
      </c>
      <c r="O783" s="9">
        <f t="shared" si="6"/>
        <v>8000</v>
      </c>
      <c r="P783" s="9">
        <f t="shared" si="7"/>
        <v>6400</v>
      </c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spans="1:42" ht="13.2" x14ac:dyDescent="0.25">
      <c r="A784" s="3" t="s">
        <v>466</v>
      </c>
      <c r="B784" s="7">
        <v>44440</v>
      </c>
      <c r="C784" s="3" t="s">
        <v>36</v>
      </c>
      <c r="D784" s="8">
        <v>131.8667132049024</v>
      </c>
      <c r="E784" s="8">
        <v>313.96289122873316</v>
      </c>
      <c r="F784" s="9">
        <v>544694.11013251159</v>
      </c>
      <c r="G784" s="10">
        <v>0</v>
      </c>
      <c r="H784" s="9">
        <v>360000</v>
      </c>
      <c r="I784" s="10">
        <v>1</v>
      </c>
      <c r="J784" s="9">
        <v>360000</v>
      </c>
      <c r="K784" s="9">
        <v>3393.0603997965204</v>
      </c>
      <c r="L784" s="10">
        <v>4</v>
      </c>
      <c r="M784" s="10">
        <v>0</v>
      </c>
      <c r="N784" s="9">
        <v>0</v>
      </c>
      <c r="O784" s="9">
        <f t="shared" si="6"/>
        <v>9000</v>
      </c>
      <c r="P784" s="9">
        <f t="shared" si="7"/>
        <v>7200</v>
      </c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spans="1:42" ht="13.2" x14ac:dyDescent="0.25">
      <c r="A785" s="3" t="s">
        <v>67</v>
      </c>
      <c r="B785" s="7">
        <v>44440</v>
      </c>
      <c r="C785" s="3" t="s">
        <v>36</v>
      </c>
      <c r="D785" s="8">
        <v>22.982305587590929</v>
      </c>
      <c r="E785" s="8">
        <v>60</v>
      </c>
      <c r="F785" s="9">
        <v>112685.80259993565</v>
      </c>
      <c r="G785" s="10">
        <v>0</v>
      </c>
      <c r="H785" s="9">
        <v>165000</v>
      </c>
      <c r="I785" s="10">
        <v>0</v>
      </c>
      <c r="J785" s="9">
        <v>0</v>
      </c>
      <c r="K785" s="9">
        <v>0</v>
      </c>
      <c r="L785" s="10">
        <v>0</v>
      </c>
      <c r="M785" s="10">
        <v>0</v>
      </c>
      <c r="N785" s="9">
        <v>0</v>
      </c>
      <c r="O785" s="9">
        <f t="shared" si="6"/>
        <v>0</v>
      </c>
      <c r="P785" s="9">
        <f t="shared" si="7"/>
        <v>0</v>
      </c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spans="1:42" ht="13.2" x14ac:dyDescent="0.25">
      <c r="A786" s="3" t="s">
        <v>168</v>
      </c>
      <c r="B786" s="7">
        <v>44440</v>
      </c>
      <c r="C786" s="3" t="s">
        <v>39</v>
      </c>
      <c r="D786" s="8">
        <v>79.992592495122494</v>
      </c>
      <c r="E786" s="8">
        <v>291.90879106546811</v>
      </c>
      <c r="F786" s="9">
        <v>428439.12387676444</v>
      </c>
      <c r="G786" s="10">
        <v>0</v>
      </c>
      <c r="H786" s="9">
        <v>280000</v>
      </c>
      <c r="I786" s="10">
        <v>1</v>
      </c>
      <c r="J786" s="9">
        <v>280000</v>
      </c>
      <c r="K786" s="9">
        <v>35681.017872257165</v>
      </c>
      <c r="L786" s="10">
        <v>6</v>
      </c>
      <c r="M786" s="10">
        <v>0</v>
      </c>
      <c r="N786" s="9">
        <v>0</v>
      </c>
      <c r="O786" s="9">
        <f t="shared" si="6"/>
        <v>7000</v>
      </c>
      <c r="P786" s="9">
        <f t="shared" si="7"/>
        <v>5600</v>
      </c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spans="1:42" ht="13.2" x14ac:dyDescent="0.25">
      <c r="A787" s="3" t="s">
        <v>467</v>
      </c>
      <c r="B787" s="7">
        <v>44440</v>
      </c>
      <c r="C787" s="3" t="s">
        <v>36</v>
      </c>
      <c r="D787" s="8">
        <v>3</v>
      </c>
      <c r="E787" s="8">
        <v>60</v>
      </c>
      <c r="F787" s="9">
        <v>37136.053674552342</v>
      </c>
      <c r="G787" s="10">
        <v>0</v>
      </c>
      <c r="H787" s="9">
        <v>70000</v>
      </c>
      <c r="I787" s="10">
        <v>0</v>
      </c>
      <c r="J787" s="9">
        <v>0</v>
      </c>
      <c r="K787" s="9">
        <v>0</v>
      </c>
      <c r="L787" s="10">
        <v>0</v>
      </c>
      <c r="M787" s="10">
        <v>0</v>
      </c>
      <c r="N787" s="9">
        <v>0</v>
      </c>
      <c r="O787" s="9">
        <f t="shared" si="6"/>
        <v>0</v>
      </c>
      <c r="P787" s="9">
        <f t="shared" si="7"/>
        <v>0</v>
      </c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spans="1:42" ht="13.2" x14ac:dyDescent="0.25">
      <c r="A788" s="3" t="s">
        <v>468</v>
      </c>
      <c r="B788" s="7">
        <v>44440</v>
      </c>
      <c r="C788" s="3" t="s">
        <v>36</v>
      </c>
      <c r="D788" s="8">
        <v>3</v>
      </c>
      <c r="E788" s="8">
        <v>96.829532299343441</v>
      </c>
      <c r="F788" s="9">
        <v>59923.728195149197</v>
      </c>
      <c r="G788" s="10">
        <v>0</v>
      </c>
      <c r="H788" s="9">
        <v>100000</v>
      </c>
      <c r="I788" s="10">
        <v>0</v>
      </c>
      <c r="J788" s="9">
        <v>0</v>
      </c>
      <c r="K788" s="9">
        <v>0</v>
      </c>
      <c r="L788" s="10">
        <v>0</v>
      </c>
      <c r="M788" s="10">
        <v>0</v>
      </c>
      <c r="N788" s="9">
        <v>0</v>
      </c>
      <c r="O788" s="9">
        <f t="shared" si="6"/>
        <v>0</v>
      </c>
      <c r="P788" s="9">
        <f t="shared" si="7"/>
        <v>0</v>
      </c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spans="1:42" ht="13.2" x14ac:dyDescent="0.25">
      <c r="A789" s="3" t="s">
        <v>469</v>
      </c>
      <c r="B789" s="7">
        <v>44440</v>
      </c>
      <c r="C789" s="3" t="s">
        <v>36</v>
      </c>
      <c r="D789" s="8">
        <v>6.6723792509576452</v>
      </c>
      <c r="E789" s="8">
        <v>178.20216856982407</v>
      </c>
      <c r="F789" s="9">
        <v>140146.18255211707</v>
      </c>
      <c r="G789" s="10">
        <v>-1</v>
      </c>
      <c r="H789" s="9">
        <v>190000</v>
      </c>
      <c r="I789" s="10">
        <v>1</v>
      </c>
      <c r="J789" s="9">
        <v>190000</v>
      </c>
      <c r="K789" s="9">
        <v>9659.9574884978047</v>
      </c>
      <c r="L789" s="10">
        <v>3</v>
      </c>
      <c r="M789" s="10">
        <v>0</v>
      </c>
      <c r="N789" s="9">
        <v>0</v>
      </c>
      <c r="O789" s="9">
        <f t="shared" si="6"/>
        <v>4750</v>
      </c>
      <c r="P789" s="9">
        <f t="shared" si="7"/>
        <v>3800</v>
      </c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spans="1:42" ht="13.2" x14ac:dyDescent="0.25">
      <c r="A790" s="3" t="s">
        <v>180</v>
      </c>
      <c r="B790" s="7">
        <v>44440</v>
      </c>
      <c r="C790" s="3" t="s">
        <v>36</v>
      </c>
      <c r="D790" s="8">
        <v>21.44677494441498</v>
      </c>
      <c r="E790" s="8">
        <v>308.14085564510856</v>
      </c>
      <c r="F790" s="9">
        <v>1193252.8464591333</v>
      </c>
      <c r="G790" s="10">
        <v>-1</v>
      </c>
      <c r="H790" s="9">
        <v>1400000</v>
      </c>
      <c r="I790" s="10">
        <v>1</v>
      </c>
      <c r="J790" s="9">
        <v>1400000</v>
      </c>
      <c r="K790" s="9">
        <v>152350.12020699561</v>
      </c>
      <c r="L790" s="10">
        <v>7</v>
      </c>
      <c r="M790" s="10">
        <v>0</v>
      </c>
      <c r="N790" s="9">
        <v>0</v>
      </c>
      <c r="O790" s="9">
        <f t="shared" si="6"/>
        <v>35000</v>
      </c>
      <c r="P790" s="9">
        <f t="shared" si="7"/>
        <v>28000</v>
      </c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spans="1:42" ht="13.2" x14ac:dyDescent="0.25">
      <c r="A791" s="3" t="s">
        <v>470</v>
      </c>
      <c r="B791" s="7">
        <v>44440</v>
      </c>
      <c r="C791" s="3" t="s">
        <v>36</v>
      </c>
      <c r="D791" s="8">
        <v>154.70466404861349</v>
      </c>
      <c r="E791" s="8">
        <v>189.11621769134894</v>
      </c>
      <c r="F791" s="9">
        <v>10113.56195097045</v>
      </c>
      <c r="G791" s="10">
        <v>0</v>
      </c>
      <c r="H791" s="9">
        <v>10000</v>
      </c>
      <c r="I791" s="10">
        <v>0</v>
      </c>
      <c r="J791" s="9">
        <v>0</v>
      </c>
      <c r="K791" s="9">
        <v>0</v>
      </c>
      <c r="L791" s="10">
        <v>0</v>
      </c>
      <c r="M791" s="10">
        <v>0</v>
      </c>
      <c r="N791" s="9">
        <v>0</v>
      </c>
      <c r="O791" s="9">
        <f t="shared" si="6"/>
        <v>0</v>
      </c>
      <c r="P791" s="9">
        <f t="shared" si="7"/>
        <v>0</v>
      </c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spans="1:42" ht="13.2" x14ac:dyDescent="0.25">
      <c r="A792" s="3" t="s">
        <v>471</v>
      </c>
      <c r="B792" s="7">
        <v>44440</v>
      </c>
      <c r="C792" s="3" t="s">
        <v>39</v>
      </c>
      <c r="D792" s="8">
        <v>3</v>
      </c>
      <c r="E792" s="8">
        <v>190.09485489492519</v>
      </c>
      <c r="F792" s="9">
        <v>70602.119100556913</v>
      </c>
      <c r="G792" s="10">
        <v>-1</v>
      </c>
      <c r="H792" s="9">
        <v>100000</v>
      </c>
      <c r="I792" s="10">
        <v>0</v>
      </c>
      <c r="J792" s="9">
        <v>0</v>
      </c>
      <c r="K792" s="9">
        <v>0</v>
      </c>
      <c r="L792" s="10">
        <v>0</v>
      </c>
      <c r="M792" s="10">
        <v>0</v>
      </c>
      <c r="N792" s="9">
        <v>0</v>
      </c>
      <c r="O792" s="9">
        <f t="shared" si="6"/>
        <v>0</v>
      </c>
      <c r="P792" s="9">
        <f t="shared" si="7"/>
        <v>0</v>
      </c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spans="1:42" ht="13.2" x14ac:dyDescent="0.25">
      <c r="A793" s="3" t="s">
        <v>472</v>
      </c>
      <c r="B793" s="7">
        <v>44440</v>
      </c>
      <c r="C793" s="3" t="s">
        <v>39</v>
      </c>
      <c r="D793" s="8">
        <v>67.645867310199918</v>
      </c>
      <c r="E793" s="8">
        <v>364.91196714670792</v>
      </c>
      <c r="F793" s="9">
        <v>186108.23217909414</v>
      </c>
      <c r="G793" s="10">
        <v>0</v>
      </c>
      <c r="H793" s="9">
        <v>130000</v>
      </c>
      <c r="I793" s="10">
        <v>0</v>
      </c>
      <c r="J793" s="9">
        <v>0</v>
      </c>
      <c r="K793" s="9">
        <v>0</v>
      </c>
      <c r="L793" s="10">
        <v>0</v>
      </c>
      <c r="M793" s="10">
        <v>0</v>
      </c>
      <c r="N793" s="9">
        <v>0</v>
      </c>
      <c r="O793" s="9">
        <f t="shared" si="6"/>
        <v>0</v>
      </c>
      <c r="P793" s="9">
        <f t="shared" si="7"/>
        <v>0</v>
      </c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spans="1:42" ht="13.2" x14ac:dyDescent="0.25">
      <c r="A794" s="3" t="s">
        <v>473</v>
      </c>
      <c r="B794" s="7">
        <v>44440</v>
      </c>
      <c r="C794" s="3" t="s">
        <v>36</v>
      </c>
      <c r="D794" s="8">
        <v>3</v>
      </c>
      <c r="E794" s="8">
        <v>216.07052477526165</v>
      </c>
      <c r="F794" s="9">
        <v>7993.6655187456372</v>
      </c>
      <c r="G794" s="10">
        <v>-1</v>
      </c>
      <c r="H794" s="9">
        <v>10000</v>
      </c>
      <c r="I794" s="10">
        <v>1</v>
      </c>
      <c r="J794" s="9">
        <v>10000</v>
      </c>
      <c r="K794" s="9">
        <v>900.47042504803858</v>
      </c>
      <c r="L794" s="10">
        <v>5</v>
      </c>
      <c r="M794" s="10">
        <v>0</v>
      </c>
      <c r="N794" s="9">
        <v>0</v>
      </c>
      <c r="O794" s="9">
        <f t="shared" si="6"/>
        <v>250</v>
      </c>
      <c r="P794" s="9">
        <f t="shared" si="7"/>
        <v>200</v>
      </c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spans="1:42" ht="13.2" x14ac:dyDescent="0.25">
      <c r="A795" s="3" t="s">
        <v>69</v>
      </c>
      <c r="B795" s="7">
        <v>44440</v>
      </c>
      <c r="C795" s="3" t="s">
        <v>36</v>
      </c>
      <c r="D795" s="8">
        <v>31.114140753318381</v>
      </c>
      <c r="E795" s="8">
        <v>64.175637534115296</v>
      </c>
      <c r="F795" s="9">
        <v>856053.20549124258</v>
      </c>
      <c r="G795" s="10">
        <v>0</v>
      </c>
      <c r="H795" s="9">
        <v>1500000</v>
      </c>
      <c r="I795" s="10">
        <v>0</v>
      </c>
      <c r="J795" s="9">
        <v>0</v>
      </c>
      <c r="K795" s="9">
        <v>0</v>
      </c>
      <c r="L795" s="10">
        <v>0</v>
      </c>
      <c r="M795" s="10">
        <v>0</v>
      </c>
      <c r="N795" s="9">
        <v>0</v>
      </c>
      <c r="O795" s="9">
        <f t="shared" si="6"/>
        <v>0</v>
      </c>
      <c r="P795" s="9">
        <f t="shared" si="7"/>
        <v>0</v>
      </c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spans="1:42" ht="13.2" x14ac:dyDescent="0.25">
      <c r="A796" s="3" t="s">
        <v>474</v>
      </c>
      <c r="B796" s="7">
        <v>44440</v>
      </c>
      <c r="C796" s="3" t="s">
        <v>36</v>
      </c>
      <c r="D796" s="8">
        <v>15.832365414199074</v>
      </c>
      <c r="E796" s="8">
        <v>338.51849993342876</v>
      </c>
      <c r="F796" s="9">
        <v>551.70601369494875</v>
      </c>
      <c r="G796" s="10">
        <v>-1</v>
      </c>
      <c r="H796" s="9">
        <v>392.15686274509801</v>
      </c>
      <c r="I796" s="10">
        <v>0</v>
      </c>
      <c r="J796" s="9">
        <v>0</v>
      </c>
      <c r="K796" s="9">
        <v>0</v>
      </c>
      <c r="L796" s="10">
        <v>0</v>
      </c>
      <c r="M796" s="10">
        <v>0</v>
      </c>
      <c r="N796" s="9">
        <v>0</v>
      </c>
      <c r="O796" s="9">
        <f t="shared" si="6"/>
        <v>0</v>
      </c>
      <c r="P796" s="9">
        <f t="shared" si="7"/>
        <v>0</v>
      </c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spans="1:42" ht="13.2" x14ac:dyDescent="0.25">
      <c r="A797" s="3" t="s">
        <v>355</v>
      </c>
      <c r="B797" s="7">
        <v>44440</v>
      </c>
      <c r="C797" s="3" t="s">
        <v>36</v>
      </c>
      <c r="D797" s="8">
        <v>14.046885301162302</v>
      </c>
      <c r="E797" s="8">
        <v>303.2762383112734</v>
      </c>
      <c r="F797" s="9">
        <v>8108.5966728602298</v>
      </c>
      <c r="G797" s="10">
        <v>0</v>
      </c>
      <c r="H797" s="9">
        <v>10000</v>
      </c>
      <c r="I797" s="10">
        <v>1</v>
      </c>
      <c r="J797" s="9">
        <v>10000</v>
      </c>
      <c r="K797" s="9">
        <v>794.62537894404579</v>
      </c>
      <c r="L797" s="10">
        <v>6</v>
      </c>
      <c r="M797" s="10">
        <v>0</v>
      </c>
      <c r="N797" s="9">
        <v>0</v>
      </c>
      <c r="O797" s="9">
        <f t="shared" si="6"/>
        <v>250</v>
      </c>
      <c r="P797" s="9">
        <f t="shared" si="7"/>
        <v>200</v>
      </c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spans="1:42" ht="13.2" x14ac:dyDescent="0.25">
      <c r="A798" s="3" t="s">
        <v>276</v>
      </c>
      <c r="B798" s="7">
        <v>44440</v>
      </c>
      <c r="C798" s="3" t="s">
        <v>36</v>
      </c>
      <c r="D798" s="8">
        <v>136.9509415819854</v>
      </c>
      <c r="E798" s="8">
        <v>157.32825050005576</v>
      </c>
      <c r="F798" s="9">
        <v>30130.034085973199</v>
      </c>
      <c r="G798" s="10">
        <v>-1</v>
      </c>
      <c r="H798" s="9">
        <v>20000</v>
      </c>
      <c r="I798" s="10">
        <v>1</v>
      </c>
      <c r="J798" s="9">
        <v>20000</v>
      </c>
      <c r="K798" s="9">
        <v>1546.45812389449</v>
      </c>
      <c r="L798" s="10">
        <v>5</v>
      </c>
      <c r="M798" s="10">
        <v>0</v>
      </c>
      <c r="N798" s="9">
        <v>0</v>
      </c>
      <c r="O798" s="9">
        <f t="shared" si="6"/>
        <v>500</v>
      </c>
      <c r="P798" s="9">
        <f t="shared" si="7"/>
        <v>400</v>
      </c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spans="1:42" ht="13.2" x14ac:dyDescent="0.25">
      <c r="A799" s="3" t="s">
        <v>415</v>
      </c>
      <c r="B799" s="7">
        <v>44440</v>
      </c>
      <c r="C799" s="3" t="s">
        <v>36</v>
      </c>
      <c r="D799" s="8">
        <v>21.852058876777701</v>
      </c>
      <c r="E799" s="8">
        <v>60</v>
      </c>
      <c r="F799" s="9">
        <v>46119.174199784473</v>
      </c>
      <c r="G799" s="10">
        <v>1</v>
      </c>
      <c r="H799" s="9">
        <v>70000</v>
      </c>
      <c r="I799" s="10">
        <v>0</v>
      </c>
      <c r="J799" s="9">
        <v>0</v>
      </c>
      <c r="K799" s="9">
        <v>0</v>
      </c>
      <c r="L799" s="10">
        <v>0</v>
      </c>
      <c r="M799" s="10">
        <v>0</v>
      </c>
      <c r="N799" s="9">
        <v>0</v>
      </c>
      <c r="O799" s="9">
        <f t="shared" si="6"/>
        <v>0</v>
      </c>
      <c r="P799" s="9">
        <f t="shared" si="7"/>
        <v>0</v>
      </c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spans="1:42" ht="13.2" x14ac:dyDescent="0.25">
      <c r="A800" s="3" t="s">
        <v>475</v>
      </c>
      <c r="B800" s="7">
        <v>44440</v>
      </c>
      <c r="C800" s="3" t="s">
        <v>36</v>
      </c>
      <c r="D800" s="8">
        <v>36.305524695204547</v>
      </c>
      <c r="E800" s="8">
        <v>156.4989938853264</v>
      </c>
      <c r="F800" s="9">
        <v>195729.1915366558</v>
      </c>
      <c r="G800" s="10">
        <v>1</v>
      </c>
      <c r="H800" s="9">
        <v>170000</v>
      </c>
      <c r="I800" s="10">
        <v>0</v>
      </c>
      <c r="J800" s="9">
        <v>0</v>
      </c>
      <c r="K800" s="9">
        <v>0</v>
      </c>
      <c r="L800" s="10">
        <v>0</v>
      </c>
      <c r="M800" s="10">
        <v>0</v>
      </c>
      <c r="N800" s="9">
        <v>0</v>
      </c>
      <c r="O800" s="9">
        <f t="shared" si="6"/>
        <v>0</v>
      </c>
      <c r="P800" s="9">
        <f t="shared" si="7"/>
        <v>0</v>
      </c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spans="1:42" ht="13.2" x14ac:dyDescent="0.25">
      <c r="A801" s="3" t="s">
        <v>476</v>
      </c>
      <c r="B801" s="7">
        <v>44440</v>
      </c>
      <c r="C801" s="3" t="s">
        <v>39</v>
      </c>
      <c r="D801" s="8">
        <v>69.183972035001631</v>
      </c>
      <c r="E801" s="8">
        <v>60</v>
      </c>
      <c r="F801" s="9">
        <v>49147.685761806351</v>
      </c>
      <c r="G801" s="10">
        <v>0</v>
      </c>
      <c r="H801" s="9">
        <v>40000</v>
      </c>
      <c r="I801" s="10">
        <v>1</v>
      </c>
      <c r="J801" s="9">
        <v>40000</v>
      </c>
      <c r="K801" s="9">
        <v>3613.6533641203396</v>
      </c>
      <c r="L801" s="10">
        <v>5</v>
      </c>
      <c r="M801" s="10">
        <v>0</v>
      </c>
      <c r="N801" s="9">
        <v>0</v>
      </c>
      <c r="O801" s="9">
        <f t="shared" si="6"/>
        <v>1000</v>
      </c>
      <c r="P801" s="9">
        <f t="shared" si="7"/>
        <v>800</v>
      </c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spans="1:42" ht="13.2" x14ac:dyDescent="0.25">
      <c r="A802" s="3" t="s">
        <v>477</v>
      </c>
      <c r="B802" s="7">
        <v>44440</v>
      </c>
      <c r="C802" s="3" t="s">
        <v>39</v>
      </c>
      <c r="D802" s="8">
        <v>52.012447988424924</v>
      </c>
      <c r="E802" s="8">
        <v>360.54145420162712</v>
      </c>
      <c r="F802" s="9">
        <v>340606.05844840081</v>
      </c>
      <c r="G802" s="10">
        <v>-1</v>
      </c>
      <c r="H802" s="9">
        <v>230000</v>
      </c>
      <c r="I802" s="10">
        <v>1</v>
      </c>
      <c r="J802" s="9">
        <v>230000</v>
      </c>
      <c r="K802" s="9">
        <v>23555.789616962207</v>
      </c>
      <c r="L802" s="10">
        <v>9</v>
      </c>
      <c r="M802" s="10">
        <v>0</v>
      </c>
      <c r="N802" s="9">
        <v>0</v>
      </c>
      <c r="O802" s="9">
        <f t="shared" si="6"/>
        <v>5750</v>
      </c>
      <c r="P802" s="9">
        <f t="shared" si="7"/>
        <v>4600</v>
      </c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spans="1:42" ht="13.2" x14ac:dyDescent="0.25">
      <c r="A803" s="3" t="s">
        <v>380</v>
      </c>
      <c r="B803" s="7">
        <v>44440</v>
      </c>
      <c r="C803" s="3" t="s">
        <v>39</v>
      </c>
      <c r="D803" s="8">
        <v>84.751575530643152</v>
      </c>
      <c r="E803" s="8">
        <v>231.09997484159641</v>
      </c>
      <c r="F803" s="9">
        <v>647679.19790753408</v>
      </c>
      <c r="G803" s="10">
        <v>0</v>
      </c>
      <c r="H803" s="9">
        <v>540000</v>
      </c>
      <c r="I803" s="10">
        <v>1</v>
      </c>
      <c r="J803" s="9">
        <v>540000</v>
      </c>
      <c r="K803" s="9">
        <v>104686.15191920579</v>
      </c>
      <c r="L803" s="10">
        <v>12</v>
      </c>
      <c r="M803" s="10">
        <v>0</v>
      </c>
      <c r="N803" s="9">
        <v>0</v>
      </c>
      <c r="O803" s="9">
        <f t="shared" si="6"/>
        <v>13500</v>
      </c>
      <c r="P803" s="9">
        <f t="shared" si="7"/>
        <v>10800</v>
      </c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spans="1:42" ht="13.2" x14ac:dyDescent="0.25">
      <c r="A804" s="3" t="s">
        <v>57</v>
      </c>
      <c r="B804" s="7">
        <v>44440</v>
      </c>
      <c r="C804" s="3" t="s">
        <v>36</v>
      </c>
      <c r="D804" s="8">
        <v>28.027035619890952</v>
      </c>
      <c r="E804" s="8">
        <v>67.355040617889358</v>
      </c>
      <c r="F804" s="9">
        <v>389112.2352341853</v>
      </c>
      <c r="G804" s="10">
        <v>-1</v>
      </c>
      <c r="H804" s="9">
        <v>520000</v>
      </c>
      <c r="I804" s="10">
        <v>0</v>
      </c>
      <c r="J804" s="9">
        <v>0</v>
      </c>
      <c r="K804" s="9">
        <v>0</v>
      </c>
      <c r="L804" s="10">
        <v>0</v>
      </c>
      <c r="M804" s="10">
        <v>0</v>
      </c>
      <c r="N804" s="9">
        <v>0</v>
      </c>
      <c r="O804" s="9">
        <f t="shared" si="6"/>
        <v>0</v>
      </c>
      <c r="P804" s="9">
        <f t="shared" si="7"/>
        <v>0</v>
      </c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spans="1:42" ht="13.2" x14ac:dyDescent="0.25">
      <c r="A805" s="3" t="s">
        <v>478</v>
      </c>
      <c r="B805" s="7">
        <v>44440</v>
      </c>
      <c r="C805" s="3" t="s">
        <v>36</v>
      </c>
      <c r="D805" s="8">
        <v>76.349907342182107</v>
      </c>
      <c r="E805" s="8">
        <v>79.904390543528621</v>
      </c>
      <c r="F805" s="9">
        <v>363390.64163550752</v>
      </c>
      <c r="G805" s="10">
        <v>0</v>
      </c>
      <c r="H805" s="9">
        <v>590000</v>
      </c>
      <c r="I805" s="10">
        <v>1</v>
      </c>
      <c r="J805" s="9">
        <v>590000</v>
      </c>
      <c r="K805" s="9">
        <v>56232.876794405849</v>
      </c>
      <c r="L805" s="10">
        <v>6</v>
      </c>
      <c r="M805" s="10">
        <v>0</v>
      </c>
      <c r="N805" s="9">
        <v>0</v>
      </c>
      <c r="O805" s="9">
        <f t="shared" si="6"/>
        <v>14750</v>
      </c>
      <c r="P805" s="9">
        <f t="shared" si="7"/>
        <v>11800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spans="1:42" ht="13.2" x14ac:dyDescent="0.25">
      <c r="A806" s="3" t="s">
        <v>429</v>
      </c>
      <c r="B806" s="7">
        <v>44440</v>
      </c>
      <c r="C806" s="3" t="s">
        <v>36</v>
      </c>
      <c r="D806" s="8">
        <v>46.543649489935333</v>
      </c>
      <c r="E806" s="8">
        <v>364.42411882684718</v>
      </c>
      <c r="F806" s="9">
        <v>603115.99660336797</v>
      </c>
      <c r="G806" s="10">
        <v>1</v>
      </c>
      <c r="H806" s="9">
        <v>410000</v>
      </c>
      <c r="I806" s="10">
        <v>1</v>
      </c>
      <c r="J806" s="9">
        <v>410000</v>
      </c>
      <c r="K806" s="9">
        <v>13552.815006138069</v>
      </c>
      <c r="L806" s="10">
        <v>3</v>
      </c>
      <c r="M806" s="10">
        <v>0</v>
      </c>
      <c r="N806" s="9">
        <v>0</v>
      </c>
      <c r="O806" s="9">
        <f t="shared" si="6"/>
        <v>10250</v>
      </c>
      <c r="P806" s="9">
        <f t="shared" si="7"/>
        <v>8200</v>
      </c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spans="1:42" ht="13.2" x14ac:dyDescent="0.25">
      <c r="A807" s="3" t="s">
        <v>416</v>
      </c>
      <c r="B807" s="7">
        <v>44440</v>
      </c>
      <c r="C807" s="3" t="s">
        <v>36</v>
      </c>
      <c r="D807" s="8">
        <v>101.1504945040117</v>
      </c>
      <c r="E807" s="8">
        <v>209.18497267811904</v>
      </c>
      <c r="F807" s="9">
        <v>1091299.5189508698</v>
      </c>
      <c r="G807" s="10">
        <v>0</v>
      </c>
      <c r="H807" s="9">
        <v>750000</v>
      </c>
      <c r="I807" s="10">
        <v>0</v>
      </c>
      <c r="J807" s="9">
        <v>0</v>
      </c>
      <c r="K807" s="9">
        <v>0</v>
      </c>
      <c r="L807" s="10">
        <v>0</v>
      </c>
      <c r="M807" s="10">
        <v>0</v>
      </c>
      <c r="N807" s="9">
        <v>0</v>
      </c>
      <c r="O807" s="9">
        <f t="shared" si="6"/>
        <v>0</v>
      </c>
      <c r="P807" s="9">
        <f t="shared" si="7"/>
        <v>0</v>
      </c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spans="1:42" ht="13.2" x14ac:dyDescent="0.25">
      <c r="A808" s="3" t="s">
        <v>327</v>
      </c>
      <c r="B808" s="7">
        <v>44440</v>
      </c>
      <c r="C808" s="3" t="s">
        <v>36</v>
      </c>
      <c r="D808" s="8">
        <v>46.004043712463286</v>
      </c>
      <c r="E808" s="8">
        <v>136.19082610104425</v>
      </c>
      <c r="F808" s="9">
        <v>169480.52424098793</v>
      </c>
      <c r="G808" s="10">
        <v>-1</v>
      </c>
      <c r="H808" s="9">
        <v>201000</v>
      </c>
      <c r="I808" s="10">
        <v>1</v>
      </c>
      <c r="J808" s="9">
        <v>201000</v>
      </c>
      <c r="K808" s="9">
        <v>12746.571769251419</v>
      </c>
      <c r="L808" s="10">
        <v>9</v>
      </c>
      <c r="M808" s="10">
        <v>0</v>
      </c>
      <c r="N808" s="9">
        <v>0</v>
      </c>
      <c r="O808" s="9">
        <f t="shared" si="6"/>
        <v>5025</v>
      </c>
      <c r="P808" s="9">
        <f t="shared" si="7"/>
        <v>4020</v>
      </c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spans="1:42" ht="13.2" x14ac:dyDescent="0.25">
      <c r="A809" s="3" t="s">
        <v>479</v>
      </c>
      <c r="B809" s="7">
        <v>44440</v>
      </c>
      <c r="C809" s="3" t="s">
        <v>36</v>
      </c>
      <c r="D809" s="8">
        <v>3</v>
      </c>
      <c r="E809" s="8">
        <v>60</v>
      </c>
      <c r="F809" s="9">
        <v>13830.431710986473</v>
      </c>
      <c r="G809" s="10">
        <v>-1</v>
      </c>
      <c r="H809" s="9">
        <v>30000</v>
      </c>
      <c r="I809" s="10">
        <v>1</v>
      </c>
      <c r="J809" s="9">
        <v>30000</v>
      </c>
      <c r="K809" s="9">
        <v>2958.0191786515475</v>
      </c>
      <c r="L809" s="10">
        <v>6</v>
      </c>
      <c r="M809" s="10">
        <v>1</v>
      </c>
      <c r="N809" s="9">
        <v>14566.5</v>
      </c>
      <c r="O809" s="9">
        <f t="shared" si="6"/>
        <v>750</v>
      </c>
      <c r="P809" s="9">
        <f t="shared" si="7"/>
        <v>600</v>
      </c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spans="1:42" ht="13.2" x14ac:dyDescent="0.25">
      <c r="A810" s="3" t="s">
        <v>480</v>
      </c>
      <c r="B810" s="7">
        <v>44440</v>
      </c>
      <c r="C810" s="3" t="s">
        <v>36</v>
      </c>
      <c r="D810" s="8">
        <v>3</v>
      </c>
      <c r="E810" s="8">
        <v>325.29626304456042</v>
      </c>
      <c r="F810" s="9">
        <v>366219.4498237248</v>
      </c>
      <c r="G810" s="10">
        <v>1</v>
      </c>
      <c r="H810" s="9">
        <v>480000</v>
      </c>
      <c r="I810" s="10">
        <v>0</v>
      </c>
      <c r="J810" s="9">
        <v>0</v>
      </c>
      <c r="K810" s="9">
        <v>0</v>
      </c>
      <c r="L810" s="10">
        <v>0</v>
      </c>
      <c r="M810" s="10">
        <v>0</v>
      </c>
      <c r="N810" s="9">
        <v>0</v>
      </c>
      <c r="O810" s="9">
        <f t="shared" si="6"/>
        <v>0</v>
      </c>
      <c r="P810" s="9">
        <f t="shared" si="7"/>
        <v>0</v>
      </c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spans="1:42" ht="13.2" x14ac:dyDescent="0.25">
      <c r="A811" s="3" t="s">
        <v>458</v>
      </c>
      <c r="B811" s="7">
        <v>44440</v>
      </c>
      <c r="C811" s="3" t="s">
        <v>36</v>
      </c>
      <c r="D811" s="8">
        <v>43.748597973074666</v>
      </c>
      <c r="E811" s="8">
        <v>78.462993556710046</v>
      </c>
      <c r="F811" s="9">
        <v>211467.23364033573</v>
      </c>
      <c r="G811" s="10">
        <v>0</v>
      </c>
      <c r="H811" s="9">
        <v>215000</v>
      </c>
      <c r="I811" s="10">
        <v>0</v>
      </c>
      <c r="J811" s="9">
        <v>0</v>
      </c>
      <c r="K811" s="9">
        <v>0</v>
      </c>
      <c r="L811" s="10">
        <v>0</v>
      </c>
      <c r="M811" s="10">
        <v>0</v>
      </c>
      <c r="N811" s="9">
        <v>0</v>
      </c>
      <c r="O811" s="9">
        <f t="shared" si="6"/>
        <v>0</v>
      </c>
      <c r="P811" s="9">
        <f t="shared" si="7"/>
        <v>0</v>
      </c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spans="1:42" ht="13.2" x14ac:dyDescent="0.25">
      <c r="A812" s="3" t="s">
        <v>481</v>
      </c>
      <c r="B812" s="7">
        <v>44440</v>
      </c>
      <c r="C812" s="3" t="s">
        <v>36</v>
      </c>
      <c r="D812" s="8">
        <v>37.67534928884433</v>
      </c>
      <c r="E812" s="8">
        <v>304.16538809703684</v>
      </c>
      <c r="F812" s="9">
        <v>58585.312032005371</v>
      </c>
      <c r="G812" s="10">
        <v>-1</v>
      </c>
      <c r="H812" s="9">
        <v>40000</v>
      </c>
      <c r="I812" s="10">
        <v>1</v>
      </c>
      <c r="J812" s="9">
        <v>40000</v>
      </c>
      <c r="K812" s="9">
        <v>3140.4559239132836</v>
      </c>
      <c r="L812" s="10">
        <v>8</v>
      </c>
      <c r="M812" s="10">
        <v>0</v>
      </c>
      <c r="N812" s="9">
        <v>0</v>
      </c>
      <c r="O812" s="9">
        <f t="shared" si="6"/>
        <v>1000</v>
      </c>
      <c r="P812" s="9">
        <f t="shared" si="7"/>
        <v>800</v>
      </c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spans="1:42" ht="13.2" x14ac:dyDescent="0.25">
      <c r="A813" s="3" t="s">
        <v>400</v>
      </c>
      <c r="B813" s="7">
        <v>44440</v>
      </c>
      <c r="C813" s="3" t="s">
        <v>36</v>
      </c>
      <c r="D813" s="8">
        <v>23.634895621909969</v>
      </c>
      <c r="E813" s="8">
        <v>73.484288694893621</v>
      </c>
      <c r="F813" s="9">
        <v>130150.14726370496</v>
      </c>
      <c r="G813" s="10">
        <v>0</v>
      </c>
      <c r="H813" s="9">
        <v>210000</v>
      </c>
      <c r="I813" s="10">
        <v>1</v>
      </c>
      <c r="J813" s="9">
        <v>210000</v>
      </c>
      <c r="K813" s="9">
        <v>33153.988696303401</v>
      </c>
      <c r="L813" s="10">
        <v>8</v>
      </c>
      <c r="M813" s="10">
        <v>0</v>
      </c>
      <c r="N813" s="9">
        <v>0</v>
      </c>
      <c r="O813" s="9">
        <f t="shared" si="6"/>
        <v>5250</v>
      </c>
      <c r="P813" s="9">
        <f t="shared" si="7"/>
        <v>4200</v>
      </c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spans="1:42" ht="13.2" x14ac:dyDescent="0.25">
      <c r="A814" s="3" t="s">
        <v>482</v>
      </c>
      <c r="B814" s="7">
        <v>44440</v>
      </c>
      <c r="C814" s="3" t="s">
        <v>63</v>
      </c>
      <c r="D814" s="8">
        <v>167.6784978887849</v>
      </c>
      <c r="E814" s="8">
        <v>171.14415436738147</v>
      </c>
      <c r="F814" s="9">
        <v>768544.36719465465</v>
      </c>
      <c r="G814" s="10">
        <v>1</v>
      </c>
      <c r="H814" s="9">
        <v>510000</v>
      </c>
      <c r="I814" s="10">
        <v>1</v>
      </c>
      <c r="J814" s="9">
        <v>510000</v>
      </c>
      <c r="K814" s="9">
        <v>17500.319851120224</v>
      </c>
      <c r="L814" s="10">
        <v>4</v>
      </c>
      <c r="M814" s="10">
        <v>0</v>
      </c>
      <c r="N814" s="9">
        <v>0</v>
      </c>
      <c r="O814" s="9">
        <f t="shared" si="6"/>
        <v>12750</v>
      </c>
      <c r="P814" s="9">
        <f t="shared" si="7"/>
        <v>10200</v>
      </c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spans="1:42" ht="13.2" x14ac:dyDescent="0.25">
      <c r="A815" s="3" t="s">
        <v>432</v>
      </c>
      <c r="B815" s="7">
        <v>44440</v>
      </c>
      <c r="C815" s="3" t="s">
        <v>36</v>
      </c>
      <c r="D815" s="8">
        <v>74.441806785410279</v>
      </c>
      <c r="E815" s="8">
        <v>362.60404297844303</v>
      </c>
      <c r="F815" s="9">
        <v>30442.862425116004</v>
      </c>
      <c r="G815" s="10">
        <v>-1</v>
      </c>
      <c r="H815" s="9">
        <v>20000</v>
      </c>
      <c r="I815" s="10">
        <v>0</v>
      </c>
      <c r="J815" s="9">
        <v>0</v>
      </c>
      <c r="K815" s="9">
        <v>0</v>
      </c>
      <c r="L815" s="10">
        <v>0</v>
      </c>
      <c r="M815" s="10">
        <v>0</v>
      </c>
      <c r="N815" s="9">
        <v>0</v>
      </c>
      <c r="O815" s="9">
        <f t="shared" si="6"/>
        <v>0</v>
      </c>
      <c r="P815" s="9">
        <f t="shared" si="7"/>
        <v>0</v>
      </c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spans="1:42" ht="13.2" x14ac:dyDescent="0.25">
      <c r="A816" s="3" t="s">
        <v>483</v>
      </c>
      <c r="B816" s="7">
        <v>44440</v>
      </c>
      <c r="C816" s="3" t="s">
        <v>36</v>
      </c>
      <c r="D816" s="8">
        <v>44.553047304451773</v>
      </c>
      <c r="E816" s="8">
        <v>268.2047686632576</v>
      </c>
      <c r="F816" s="9">
        <v>29438.277389664345</v>
      </c>
      <c r="G816" s="10">
        <v>0</v>
      </c>
      <c r="H816" s="9">
        <v>30000</v>
      </c>
      <c r="I816" s="10">
        <v>1</v>
      </c>
      <c r="J816" s="9">
        <v>30000</v>
      </c>
      <c r="K816" s="9">
        <v>2396.1178330055532</v>
      </c>
      <c r="L816" s="10">
        <v>6</v>
      </c>
      <c r="M816" s="10">
        <v>0</v>
      </c>
      <c r="N816" s="9">
        <v>0</v>
      </c>
      <c r="O816" s="9">
        <f t="shared" si="6"/>
        <v>750</v>
      </c>
      <c r="P816" s="9">
        <f t="shared" si="7"/>
        <v>600</v>
      </c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spans="1:42" ht="13.2" x14ac:dyDescent="0.25">
      <c r="A817" s="3" t="s">
        <v>443</v>
      </c>
      <c r="B817" s="7">
        <v>44440</v>
      </c>
      <c r="C817" s="3" t="s">
        <v>36</v>
      </c>
      <c r="D817" s="8">
        <v>11.50724351508368</v>
      </c>
      <c r="E817" s="8">
        <v>200.96748265269997</v>
      </c>
      <c r="F817" s="9">
        <v>193511.3151065748</v>
      </c>
      <c r="G817" s="10">
        <v>-1</v>
      </c>
      <c r="H817" s="9">
        <v>190000</v>
      </c>
      <c r="I817" s="10">
        <v>0</v>
      </c>
      <c r="J817" s="9">
        <v>0</v>
      </c>
      <c r="K817" s="9">
        <v>0</v>
      </c>
      <c r="L817" s="10">
        <v>0</v>
      </c>
      <c r="M817" s="10">
        <v>0</v>
      </c>
      <c r="N817" s="9">
        <v>0</v>
      </c>
      <c r="O817" s="9">
        <f t="shared" si="6"/>
        <v>0</v>
      </c>
      <c r="P817" s="9">
        <f t="shared" si="7"/>
        <v>0</v>
      </c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spans="1:42" ht="13.2" x14ac:dyDescent="0.25">
      <c r="A818" s="3" t="s">
        <v>431</v>
      </c>
      <c r="B818" s="7">
        <v>44440</v>
      </c>
      <c r="C818" s="3" t="s">
        <v>36</v>
      </c>
      <c r="D818" s="8">
        <v>22.978546140127143</v>
      </c>
      <c r="E818" s="8">
        <v>308.41228488211334</v>
      </c>
      <c r="F818" s="9">
        <v>120663.98595488748</v>
      </c>
      <c r="G818" s="10">
        <v>-1</v>
      </c>
      <c r="H818" s="9">
        <v>130000</v>
      </c>
      <c r="I818" s="10">
        <v>0</v>
      </c>
      <c r="J818" s="9">
        <v>0</v>
      </c>
      <c r="K818" s="9">
        <v>0</v>
      </c>
      <c r="L818" s="10">
        <v>0</v>
      </c>
      <c r="M818" s="10">
        <v>0</v>
      </c>
      <c r="N818" s="9">
        <v>0</v>
      </c>
      <c r="O818" s="9">
        <f t="shared" si="6"/>
        <v>0</v>
      </c>
      <c r="P818" s="9">
        <f t="shared" si="7"/>
        <v>0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spans="1:42" ht="13.2" x14ac:dyDescent="0.25">
      <c r="A819" s="3" t="s">
        <v>484</v>
      </c>
      <c r="B819" s="7">
        <v>44440</v>
      </c>
      <c r="C819" s="3" t="s">
        <v>36</v>
      </c>
      <c r="D819" s="8">
        <v>45.247417281684207</v>
      </c>
      <c r="E819" s="8">
        <v>60</v>
      </c>
      <c r="F819" s="9">
        <v>158276.3567049485</v>
      </c>
      <c r="G819" s="10">
        <v>-1</v>
      </c>
      <c r="H819" s="9">
        <v>270000</v>
      </c>
      <c r="I819" s="10">
        <v>0</v>
      </c>
      <c r="J819" s="9">
        <v>0</v>
      </c>
      <c r="K819" s="9">
        <v>0</v>
      </c>
      <c r="L819" s="10">
        <v>0</v>
      </c>
      <c r="M819" s="10">
        <v>0</v>
      </c>
      <c r="N819" s="9">
        <v>0</v>
      </c>
      <c r="O819" s="9">
        <f t="shared" si="6"/>
        <v>0</v>
      </c>
      <c r="P819" s="9">
        <f t="shared" si="7"/>
        <v>0</v>
      </c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spans="1:42" ht="13.2" x14ac:dyDescent="0.25">
      <c r="A820" s="3" t="s">
        <v>485</v>
      </c>
      <c r="B820" s="7">
        <v>44440</v>
      </c>
      <c r="C820" s="3" t="s">
        <v>36</v>
      </c>
      <c r="D820" s="8">
        <v>3</v>
      </c>
      <c r="E820" s="8">
        <v>209.41220314642513</v>
      </c>
      <c r="F820" s="9">
        <v>44035.129163771941</v>
      </c>
      <c r="G820" s="10">
        <v>-1</v>
      </c>
      <c r="H820" s="9">
        <v>70000</v>
      </c>
      <c r="I820" s="10">
        <v>1</v>
      </c>
      <c r="J820" s="9">
        <v>70000</v>
      </c>
      <c r="K820" s="9">
        <v>4092.7428952484352</v>
      </c>
      <c r="L820" s="10">
        <v>6</v>
      </c>
      <c r="M820" s="10">
        <v>0</v>
      </c>
      <c r="N820" s="9">
        <v>0</v>
      </c>
      <c r="O820" s="9">
        <f t="shared" si="6"/>
        <v>1750</v>
      </c>
      <c r="P820" s="9">
        <f t="shared" si="7"/>
        <v>1400</v>
      </c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spans="1:42" ht="13.2" x14ac:dyDescent="0.25">
      <c r="A821" s="3" t="s">
        <v>486</v>
      </c>
      <c r="B821" s="7">
        <v>44440</v>
      </c>
      <c r="C821" s="3" t="s">
        <v>36</v>
      </c>
      <c r="D821" s="8">
        <v>24.226427558632345</v>
      </c>
      <c r="E821" s="8">
        <v>135.10576867632142</v>
      </c>
      <c r="F821" s="9">
        <v>11546.59481419765</v>
      </c>
      <c r="G821" s="10">
        <v>-1</v>
      </c>
      <c r="H821" s="9">
        <v>20000</v>
      </c>
      <c r="I821" s="10">
        <v>0</v>
      </c>
      <c r="J821" s="9">
        <v>0</v>
      </c>
      <c r="K821" s="9">
        <v>0</v>
      </c>
      <c r="L821" s="10">
        <v>0</v>
      </c>
      <c r="M821" s="10">
        <v>0</v>
      </c>
      <c r="N821" s="9">
        <v>0</v>
      </c>
      <c r="O821" s="9">
        <f t="shared" si="6"/>
        <v>0</v>
      </c>
      <c r="P821" s="9">
        <f t="shared" si="7"/>
        <v>0</v>
      </c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spans="1:42" ht="13.2" x14ac:dyDescent="0.25">
      <c r="A822" s="3" t="s">
        <v>139</v>
      </c>
      <c r="B822" s="7">
        <v>44440</v>
      </c>
      <c r="C822" s="3" t="s">
        <v>36</v>
      </c>
      <c r="D822" s="8">
        <v>26.818514340902887</v>
      </c>
      <c r="E822" s="8">
        <v>184.54637665398783</v>
      </c>
      <c r="F822" s="9">
        <v>201089.22176210303</v>
      </c>
      <c r="G822" s="10">
        <v>1</v>
      </c>
      <c r="H822" s="9">
        <v>320000</v>
      </c>
      <c r="I822" s="10">
        <v>0</v>
      </c>
      <c r="J822" s="9">
        <v>0</v>
      </c>
      <c r="K822" s="9">
        <v>0</v>
      </c>
      <c r="L822" s="10">
        <v>0</v>
      </c>
      <c r="M822" s="10">
        <v>0</v>
      </c>
      <c r="N822" s="9">
        <v>0</v>
      </c>
      <c r="O822" s="9">
        <f t="shared" si="6"/>
        <v>0</v>
      </c>
      <c r="P822" s="9">
        <f t="shared" si="7"/>
        <v>0</v>
      </c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spans="1:42" ht="13.2" x14ac:dyDescent="0.25">
      <c r="A823" s="3" t="s">
        <v>487</v>
      </c>
      <c r="B823" s="7">
        <v>44440</v>
      </c>
      <c r="C823" s="3" t="s">
        <v>36</v>
      </c>
      <c r="D823" s="8">
        <v>3</v>
      </c>
      <c r="E823" s="8">
        <v>183.01553840322489</v>
      </c>
      <c r="F823" s="9">
        <v>644247.33907382668</v>
      </c>
      <c r="G823" s="10">
        <v>0</v>
      </c>
      <c r="H823" s="9">
        <v>670000</v>
      </c>
      <c r="I823" s="10">
        <v>0</v>
      </c>
      <c r="J823" s="9">
        <v>0</v>
      </c>
      <c r="K823" s="9">
        <v>0</v>
      </c>
      <c r="L823" s="10">
        <v>0</v>
      </c>
      <c r="M823" s="10">
        <v>0</v>
      </c>
      <c r="N823" s="9">
        <v>0</v>
      </c>
      <c r="O823" s="9">
        <f t="shared" si="6"/>
        <v>0</v>
      </c>
      <c r="P823" s="9">
        <f t="shared" si="7"/>
        <v>0</v>
      </c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spans="1:42" ht="13.2" x14ac:dyDescent="0.25">
      <c r="A824" s="3" t="s">
        <v>488</v>
      </c>
      <c r="B824" s="7">
        <v>44440</v>
      </c>
      <c r="C824" s="3" t="s">
        <v>39</v>
      </c>
      <c r="D824" s="8">
        <v>11.515383171247379</v>
      </c>
      <c r="E824" s="8">
        <v>119.9470427661426</v>
      </c>
      <c r="F824" s="9">
        <v>1115.855534890919</v>
      </c>
      <c r="G824" s="10">
        <v>-1</v>
      </c>
      <c r="H824" s="9">
        <v>1714.2857142857142</v>
      </c>
      <c r="I824" s="10">
        <v>1</v>
      </c>
      <c r="J824" s="9">
        <v>1714.2857142857142</v>
      </c>
      <c r="K824" s="9">
        <v>61.308639622555042</v>
      </c>
      <c r="L824" s="10">
        <v>6</v>
      </c>
      <c r="M824" s="10">
        <v>0</v>
      </c>
      <c r="N824" s="9">
        <v>0</v>
      </c>
      <c r="O824" s="9">
        <f t="shared" si="6"/>
        <v>42.857142857142861</v>
      </c>
      <c r="P824" s="9">
        <f t="shared" si="7"/>
        <v>34.285714285714285</v>
      </c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spans="1:42" ht="13.2" x14ac:dyDescent="0.25">
      <c r="A825" s="3" t="s">
        <v>489</v>
      </c>
      <c r="B825" s="7">
        <v>44440</v>
      </c>
      <c r="C825" s="3" t="s">
        <v>36</v>
      </c>
      <c r="D825" s="8">
        <v>3</v>
      </c>
      <c r="E825" s="8">
        <v>80.826124551404689</v>
      </c>
      <c r="F825" s="9">
        <v>5432.6191474153129</v>
      </c>
      <c r="G825" s="10">
        <v>-1</v>
      </c>
      <c r="H825" s="9">
        <v>10000</v>
      </c>
      <c r="I825" s="10">
        <v>0</v>
      </c>
      <c r="J825" s="9">
        <v>0</v>
      </c>
      <c r="K825" s="9">
        <v>0</v>
      </c>
      <c r="L825" s="10">
        <v>0</v>
      </c>
      <c r="M825" s="10">
        <v>0</v>
      </c>
      <c r="N825" s="9">
        <v>0</v>
      </c>
      <c r="O825" s="9">
        <f t="shared" si="6"/>
        <v>0</v>
      </c>
      <c r="P825" s="9">
        <f t="shared" si="7"/>
        <v>0</v>
      </c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spans="1:42" ht="13.2" x14ac:dyDescent="0.25">
      <c r="A826" s="3" t="s">
        <v>490</v>
      </c>
      <c r="B826" s="7">
        <v>44470</v>
      </c>
      <c r="C826" s="3" t="s">
        <v>36</v>
      </c>
      <c r="D826" s="8">
        <v>57.783894848304854</v>
      </c>
      <c r="E826" s="8">
        <v>420.98397103109966</v>
      </c>
      <c r="F826" s="9">
        <v>77934.714376903386</v>
      </c>
      <c r="G826" s="10">
        <v>-1</v>
      </c>
      <c r="H826" s="9">
        <v>50000</v>
      </c>
      <c r="I826" s="10">
        <v>0</v>
      </c>
      <c r="J826" s="9">
        <v>0</v>
      </c>
      <c r="K826" s="9">
        <v>0</v>
      </c>
      <c r="L826" s="10">
        <v>0</v>
      </c>
      <c r="M826" s="10">
        <v>0</v>
      </c>
      <c r="N826" s="9">
        <v>0</v>
      </c>
      <c r="O826" s="9">
        <f t="shared" si="6"/>
        <v>0</v>
      </c>
      <c r="P826" s="9">
        <f t="shared" si="7"/>
        <v>0</v>
      </c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spans="1:42" ht="13.2" x14ac:dyDescent="0.25">
      <c r="A827" s="3" t="s">
        <v>316</v>
      </c>
      <c r="B827" s="7">
        <v>44470</v>
      </c>
      <c r="C827" s="3" t="s">
        <v>39</v>
      </c>
      <c r="D827" s="8">
        <v>8.5733262477860865</v>
      </c>
      <c r="E827" s="8">
        <v>191.83073974051408</v>
      </c>
      <c r="F827" s="9">
        <v>49990.877295844875</v>
      </c>
      <c r="G827" s="10">
        <v>1</v>
      </c>
      <c r="H827" s="9">
        <v>80000</v>
      </c>
      <c r="I827" s="10">
        <v>0</v>
      </c>
      <c r="J827" s="9">
        <v>0</v>
      </c>
      <c r="K827" s="9">
        <v>0</v>
      </c>
      <c r="L827" s="10">
        <v>0</v>
      </c>
      <c r="M827" s="10">
        <v>0</v>
      </c>
      <c r="N827" s="9">
        <v>0</v>
      </c>
      <c r="O827" s="9">
        <f t="shared" si="6"/>
        <v>0</v>
      </c>
      <c r="P827" s="9">
        <f t="shared" si="7"/>
        <v>0</v>
      </c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spans="1:42" ht="13.2" x14ac:dyDescent="0.25">
      <c r="A828" s="3" t="s">
        <v>469</v>
      </c>
      <c r="B828" s="7">
        <v>44470</v>
      </c>
      <c r="C828" s="3" t="s">
        <v>36</v>
      </c>
      <c r="D828" s="8">
        <v>4.1438747427400848</v>
      </c>
      <c r="E828" s="8">
        <v>158.65661365745615</v>
      </c>
      <c r="F828" s="9">
        <v>149996.83465277997</v>
      </c>
      <c r="G828" s="10">
        <v>1</v>
      </c>
      <c r="H828" s="9">
        <v>190000</v>
      </c>
      <c r="I828" s="10">
        <v>0</v>
      </c>
      <c r="J828" s="9">
        <v>0</v>
      </c>
      <c r="K828" s="9">
        <v>0</v>
      </c>
      <c r="L828" s="10">
        <v>0</v>
      </c>
      <c r="M828" s="10">
        <v>0</v>
      </c>
      <c r="N828" s="9">
        <v>0</v>
      </c>
      <c r="O828" s="9">
        <f t="shared" si="6"/>
        <v>0</v>
      </c>
      <c r="P828" s="9">
        <f t="shared" si="7"/>
        <v>0</v>
      </c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spans="1:42" ht="13.2" x14ac:dyDescent="0.25">
      <c r="A829" s="3" t="s">
        <v>183</v>
      </c>
      <c r="B829" s="7">
        <v>44470</v>
      </c>
      <c r="C829" s="3" t="s">
        <v>36</v>
      </c>
      <c r="D829" s="8">
        <v>51.97383780720839</v>
      </c>
      <c r="E829" s="8">
        <v>113.07173648122853</v>
      </c>
      <c r="F829" s="9">
        <v>11899.501004751273</v>
      </c>
      <c r="G829" s="10">
        <v>0</v>
      </c>
      <c r="H829" s="9">
        <v>10000</v>
      </c>
      <c r="I829" s="10">
        <v>1</v>
      </c>
      <c r="J829" s="9">
        <v>10000</v>
      </c>
      <c r="K829" s="9">
        <v>453.96374550769087</v>
      </c>
      <c r="L829" s="10">
        <v>6</v>
      </c>
      <c r="M829" s="10">
        <v>0</v>
      </c>
      <c r="N829" s="9">
        <v>0</v>
      </c>
      <c r="O829" s="9">
        <f t="shared" si="6"/>
        <v>250</v>
      </c>
      <c r="P829" s="9">
        <f t="shared" si="7"/>
        <v>200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spans="1:42" ht="13.2" x14ac:dyDescent="0.25">
      <c r="A830" s="3" t="s">
        <v>491</v>
      </c>
      <c r="B830" s="7">
        <v>44470</v>
      </c>
      <c r="C830" s="3" t="s">
        <v>36</v>
      </c>
      <c r="D830" s="8">
        <v>105.17622018619828</v>
      </c>
      <c r="E830" s="8">
        <v>124.31421581069623</v>
      </c>
      <c r="F830" s="9">
        <v>218.53701326940111</v>
      </c>
      <c r="G830" s="10">
        <v>0</v>
      </c>
      <c r="H830" s="9">
        <v>181.81818181818181</v>
      </c>
      <c r="I830" s="10">
        <v>1</v>
      </c>
      <c r="J830" s="9">
        <v>181.81818181818181</v>
      </c>
      <c r="K830" s="9">
        <v>8.4610245297005484</v>
      </c>
      <c r="L830" s="10">
        <v>3</v>
      </c>
      <c r="M830" s="10">
        <v>0</v>
      </c>
      <c r="N830" s="9">
        <v>0</v>
      </c>
      <c r="O830" s="9">
        <f t="shared" si="6"/>
        <v>4.5454545454545459</v>
      </c>
      <c r="P830" s="9">
        <f t="shared" si="7"/>
        <v>3.6363636363636362</v>
      </c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spans="1:42" ht="13.2" x14ac:dyDescent="0.25">
      <c r="A831" s="3" t="s">
        <v>492</v>
      </c>
      <c r="B831" s="7">
        <v>44470</v>
      </c>
      <c r="C831" s="3" t="s">
        <v>36</v>
      </c>
      <c r="D831" s="8">
        <v>78.777503859143948</v>
      </c>
      <c r="E831" s="8">
        <v>311.09569545900314</v>
      </c>
      <c r="F831" s="9">
        <v>60613.680160281736</v>
      </c>
      <c r="G831" s="10">
        <v>-1</v>
      </c>
      <c r="H831" s="9">
        <v>40000</v>
      </c>
      <c r="I831" s="10">
        <v>0</v>
      </c>
      <c r="J831" s="9">
        <v>0</v>
      </c>
      <c r="K831" s="9">
        <v>0</v>
      </c>
      <c r="L831" s="10">
        <v>0</v>
      </c>
      <c r="M831" s="10">
        <v>0</v>
      </c>
      <c r="N831" s="9">
        <v>0</v>
      </c>
      <c r="O831" s="9">
        <f t="shared" si="6"/>
        <v>0</v>
      </c>
      <c r="P831" s="9">
        <f t="shared" si="7"/>
        <v>0</v>
      </c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spans="1:42" ht="13.2" x14ac:dyDescent="0.25">
      <c r="A832" s="3" t="s">
        <v>493</v>
      </c>
      <c r="B832" s="7">
        <v>44470</v>
      </c>
      <c r="C832" s="3" t="s">
        <v>63</v>
      </c>
      <c r="D832" s="8">
        <v>88.870080530057749</v>
      </c>
      <c r="E832" s="8">
        <v>350.15749377979063</v>
      </c>
      <c r="F832" s="9">
        <v>249417.3489896261</v>
      </c>
      <c r="G832" s="10">
        <v>-1</v>
      </c>
      <c r="H832" s="9">
        <v>170000</v>
      </c>
      <c r="I832" s="10">
        <v>0</v>
      </c>
      <c r="J832" s="9">
        <v>0</v>
      </c>
      <c r="K832" s="9">
        <v>0</v>
      </c>
      <c r="L832" s="10">
        <v>0</v>
      </c>
      <c r="M832" s="10">
        <v>0</v>
      </c>
      <c r="N832" s="9">
        <v>0</v>
      </c>
      <c r="O832" s="9">
        <f t="shared" si="6"/>
        <v>0</v>
      </c>
      <c r="P832" s="9">
        <f t="shared" si="7"/>
        <v>0</v>
      </c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spans="1:42" ht="13.2" x14ac:dyDescent="0.25">
      <c r="A833" s="3" t="s">
        <v>494</v>
      </c>
      <c r="B833" s="7">
        <v>44470</v>
      </c>
      <c r="C833" s="3" t="s">
        <v>39</v>
      </c>
      <c r="D833" s="8">
        <v>80.840946547077834</v>
      </c>
      <c r="E833" s="8">
        <v>60</v>
      </c>
      <c r="F833" s="9">
        <v>37079.632326667343</v>
      </c>
      <c r="G833" s="10">
        <v>0</v>
      </c>
      <c r="H833" s="9">
        <v>50000</v>
      </c>
      <c r="I833" s="10">
        <v>1</v>
      </c>
      <c r="J833" s="9">
        <v>50000</v>
      </c>
      <c r="K833" s="9">
        <v>489.34269447772783</v>
      </c>
      <c r="L833" s="10">
        <v>3</v>
      </c>
      <c r="M833" s="10">
        <v>0</v>
      </c>
      <c r="N833" s="9">
        <v>0</v>
      </c>
      <c r="O833" s="9">
        <f t="shared" si="6"/>
        <v>1250</v>
      </c>
      <c r="P833" s="9">
        <f t="shared" si="7"/>
        <v>1000</v>
      </c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spans="1:42" ht="13.2" x14ac:dyDescent="0.25">
      <c r="A834" s="3" t="s">
        <v>290</v>
      </c>
      <c r="B834" s="7">
        <v>44470</v>
      </c>
      <c r="C834" s="3" t="s">
        <v>36</v>
      </c>
      <c r="D834" s="8">
        <v>3.9759717009590467</v>
      </c>
      <c r="E834" s="8">
        <v>336.20264572380796</v>
      </c>
      <c r="F834" s="9">
        <v>14213.385503548427</v>
      </c>
      <c r="G834" s="10">
        <v>-1</v>
      </c>
      <c r="H834" s="9">
        <v>10000</v>
      </c>
      <c r="I834" s="10">
        <v>1</v>
      </c>
      <c r="J834" s="9">
        <v>10000</v>
      </c>
      <c r="K834" s="9">
        <v>637.79083440608656</v>
      </c>
      <c r="L834" s="10">
        <v>6</v>
      </c>
      <c r="M834" s="10">
        <v>0</v>
      </c>
      <c r="N834" s="9">
        <v>0</v>
      </c>
      <c r="O834" s="9">
        <f t="shared" si="6"/>
        <v>250</v>
      </c>
      <c r="P834" s="9">
        <f t="shared" si="7"/>
        <v>200</v>
      </c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spans="1:42" ht="13.2" x14ac:dyDescent="0.25">
      <c r="A835" s="3" t="s">
        <v>442</v>
      </c>
      <c r="B835" s="7">
        <v>44470</v>
      </c>
      <c r="C835" s="3" t="s">
        <v>36</v>
      </c>
      <c r="D835" s="8">
        <v>3</v>
      </c>
      <c r="E835" s="8">
        <v>60</v>
      </c>
      <c r="F835" s="9">
        <v>63530.134548903334</v>
      </c>
      <c r="G835" s="10">
        <v>0</v>
      </c>
      <c r="H835" s="9">
        <v>130000</v>
      </c>
      <c r="I835" s="10">
        <v>0</v>
      </c>
      <c r="J835" s="9">
        <v>0</v>
      </c>
      <c r="K835" s="9">
        <v>0</v>
      </c>
      <c r="L835" s="10">
        <v>0</v>
      </c>
      <c r="M835" s="10">
        <v>0</v>
      </c>
      <c r="N835" s="9">
        <v>0</v>
      </c>
      <c r="O835" s="9">
        <f t="shared" si="6"/>
        <v>0</v>
      </c>
      <c r="P835" s="9">
        <f t="shared" si="7"/>
        <v>0</v>
      </c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spans="1:42" ht="13.2" x14ac:dyDescent="0.25">
      <c r="A836" s="3" t="s">
        <v>376</v>
      </c>
      <c r="B836" s="7">
        <v>44470</v>
      </c>
      <c r="C836" s="3" t="s">
        <v>36</v>
      </c>
      <c r="D836" s="8">
        <v>91.827027773835852</v>
      </c>
      <c r="E836" s="8">
        <v>60</v>
      </c>
      <c r="F836" s="9">
        <v>92656.881390327544</v>
      </c>
      <c r="G836" s="10">
        <v>-1</v>
      </c>
      <c r="H836" s="9">
        <v>140000</v>
      </c>
      <c r="I836" s="10">
        <v>1</v>
      </c>
      <c r="J836" s="9">
        <v>140000</v>
      </c>
      <c r="K836" s="9">
        <v>12017.513926909316</v>
      </c>
      <c r="L836" s="10">
        <v>6</v>
      </c>
      <c r="M836" s="10">
        <v>0</v>
      </c>
      <c r="N836" s="9">
        <v>0</v>
      </c>
      <c r="O836" s="9">
        <f t="shared" si="6"/>
        <v>3500</v>
      </c>
      <c r="P836" s="9">
        <f t="shared" si="7"/>
        <v>2800</v>
      </c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spans="1:42" ht="13.2" x14ac:dyDescent="0.25">
      <c r="A837" s="3" t="s">
        <v>380</v>
      </c>
      <c r="B837" s="7">
        <v>44470</v>
      </c>
      <c r="C837" s="3" t="s">
        <v>39</v>
      </c>
      <c r="D837" s="8">
        <v>84.973635989259606</v>
      </c>
      <c r="E837" s="8">
        <v>349.56409138605744</v>
      </c>
      <c r="F837" s="9">
        <v>1410020.085652865</v>
      </c>
      <c r="G837" s="10">
        <v>0</v>
      </c>
      <c r="H837" s="9">
        <v>860000</v>
      </c>
      <c r="I837" s="10">
        <v>1</v>
      </c>
      <c r="J837" s="9">
        <v>860000</v>
      </c>
      <c r="K837" s="9">
        <v>187010.72735255526</v>
      </c>
      <c r="L837" s="10">
        <v>12</v>
      </c>
      <c r="M837" s="10">
        <v>0</v>
      </c>
      <c r="N837" s="9">
        <v>0</v>
      </c>
      <c r="O837" s="9">
        <f t="shared" si="6"/>
        <v>21500</v>
      </c>
      <c r="P837" s="9">
        <f t="shared" si="7"/>
        <v>17200</v>
      </c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spans="1:42" ht="13.2" x14ac:dyDescent="0.25">
      <c r="A838" s="3" t="s">
        <v>416</v>
      </c>
      <c r="B838" s="7">
        <v>44470</v>
      </c>
      <c r="C838" s="3" t="s">
        <v>36</v>
      </c>
      <c r="D838" s="8">
        <v>104.31945086376588</v>
      </c>
      <c r="E838" s="8">
        <v>129.89862497253085</v>
      </c>
      <c r="F838" s="9">
        <v>1440058.6353231305</v>
      </c>
      <c r="G838" s="10">
        <v>-1</v>
      </c>
      <c r="H838" s="9">
        <v>1190000</v>
      </c>
      <c r="I838" s="10">
        <v>1</v>
      </c>
      <c r="J838" s="9">
        <v>1190000</v>
      </c>
      <c r="K838" s="9">
        <v>85109.162283219979</v>
      </c>
      <c r="L838" s="10">
        <v>6</v>
      </c>
      <c r="M838" s="10">
        <v>0</v>
      </c>
      <c r="N838" s="9">
        <v>0</v>
      </c>
      <c r="O838" s="9">
        <f t="shared" si="6"/>
        <v>29750</v>
      </c>
      <c r="P838" s="9">
        <f t="shared" si="7"/>
        <v>23800</v>
      </c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spans="1:42" ht="13.2" x14ac:dyDescent="0.25">
      <c r="A839" s="3" t="s">
        <v>57</v>
      </c>
      <c r="B839" s="7">
        <v>44470</v>
      </c>
      <c r="C839" s="3" t="s">
        <v>36</v>
      </c>
      <c r="D839" s="8">
        <v>38.599390723282795</v>
      </c>
      <c r="E839" s="8">
        <v>60</v>
      </c>
      <c r="F839" s="9">
        <v>146678.28300764691</v>
      </c>
      <c r="G839" s="10">
        <v>0</v>
      </c>
      <c r="H839" s="9">
        <v>260000</v>
      </c>
      <c r="I839" s="10">
        <v>0</v>
      </c>
      <c r="J839" s="9">
        <v>0</v>
      </c>
      <c r="K839" s="9">
        <v>0</v>
      </c>
      <c r="L839" s="10">
        <v>0</v>
      </c>
      <c r="M839" s="10">
        <v>0</v>
      </c>
      <c r="N839" s="9">
        <v>0</v>
      </c>
      <c r="O839" s="9">
        <f t="shared" si="6"/>
        <v>0</v>
      </c>
      <c r="P839" s="9">
        <f t="shared" si="7"/>
        <v>0</v>
      </c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spans="1:42" ht="13.2" x14ac:dyDescent="0.25">
      <c r="A840" s="3" t="s">
        <v>379</v>
      </c>
      <c r="B840" s="7">
        <v>44501</v>
      </c>
      <c r="C840" s="3" t="s">
        <v>36</v>
      </c>
      <c r="D840" s="8">
        <v>3</v>
      </c>
      <c r="E840" s="8">
        <v>248.24315240856899</v>
      </c>
      <c r="F840" s="9">
        <v>106847.59756523301</v>
      </c>
      <c r="G840" s="10">
        <v>1</v>
      </c>
      <c r="H840" s="9">
        <v>110000</v>
      </c>
      <c r="I840" s="10">
        <v>0</v>
      </c>
      <c r="J840" s="9">
        <v>0</v>
      </c>
      <c r="K840" s="9">
        <v>0</v>
      </c>
      <c r="L840" s="10">
        <v>0</v>
      </c>
      <c r="M840" s="10">
        <v>0</v>
      </c>
      <c r="N840" s="9">
        <v>0</v>
      </c>
      <c r="O840" s="9">
        <f t="shared" si="6"/>
        <v>0</v>
      </c>
      <c r="P840" s="9">
        <f t="shared" si="7"/>
        <v>0</v>
      </c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spans="1:42" ht="13.2" x14ac:dyDescent="0.25">
      <c r="A841" s="3" t="s">
        <v>67</v>
      </c>
      <c r="B841" s="7">
        <v>44501</v>
      </c>
      <c r="C841" s="3" t="s">
        <v>36</v>
      </c>
      <c r="D841" s="8">
        <v>19.197074686102987</v>
      </c>
      <c r="E841" s="8">
        <v>313.87222245341212</v>
      </c>
      <c r="F841" s="9">
        <v>1840431.7910604402</v>
      </c>
      <c r="G841" s="10">
        <v>0</v>
      </c>
      <c r="H841" s="9">
        <v>1260000</v>
      </c>
      <c r="I841" s="10">
        <v>1</v>
      </c>
      <c r="J841" s="9">
        <v>1260000</v>
      </c>
      <c r="K841" s="9">
        <v>55320.716619877989</v>
      </c>
      <c r="L841" s="10">
        <v>4</v>
      </c>
      <c r="M841" s="10">
        <v>0</v>
      </c>
      <c r="N841" s="9">
        <v>0</v>
      </c>
      <c r="O841" s="9">
        <f t="shared" si="6"/>
        <v>31500</v>
      </c>
      <c r="P841" s="9">
        <f t="shared" si="7"/>
        <v>25200</v>
      </c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spans="1:42" ht="13.2" x14ac:dyDescent="0.25">
      <c r="A842" s="3" t="s">
        <v>380</v>
      </c>
      <c r="B842" s="7">
        <v>44501</v>
      </c>
      <c r="C842" s="3" t="s">
        <v>39</v>
      </c>
      <c r="D842" s="8">
        <v>119.23613989335237</v>
      </c>
      <c r="E842" s="8">
        <v>180.61421009777249</v>
      </c>
      <c r="F842" s="9">
        <v>650270.21660004428</v>
      </c>
      <c r="G842" s="10">
        <v>0</v>
      </c>
      <c r="H842" s="9">
        <v>450000</v>
      </c>
      <c r="I842" s="10">
        <v>1</v>
      </c>
      <c r="J842" s="9">
        <v>450000</v>
      </c>
      <c r="K842" s="9">
        <v>59479.252843059046</v>
      </c>
      <c r="L842" s="10">
        <v>12</v>
      </c>
      <c r="M842" s="10">
        <v>0</v>
      </c>
      <c r="N842" s="9">
        <v>0</v>
      </c>
      <c r="O842" s="9">
        <f t="shared" si="6"/>
        <v>11250</v>
      </c>
      <c r="P842" s="9">
        <f t="shared" si="7"/>
        <v>9000</v>
      </c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spans="1:42" ht="13.2" x14ac:dyDescent="0.25">
      <c r="A843" s="3" t="s">
        <v>495</v>
      </c>
      <c r="B843" s="7">
        <v>44501</v>
      </c>
      <c r="C843" s="3" t="s">
        <v>36</v>
      </c>
      <c r="D843" s="8">
        <v>13.289066432607775</v>
      </c>
      <c r="E843" s="8">
        <v>308.42528975454724</v>
      </c>
      <c r="F843" s="9">
        <v>895530.70554990775</v>
      </c>
      <c r="G843" s="10">
        <v>0</v>
      </c>
      <c r="H843" s="9">
        <v>610000</v>
      </c>
      <c r="I843" s="10">
        <v>1</v>
      </c>
      <c r="J843" s="9">
        <v>610000</v>
      </c>
      <c r="K843" s="9">
        <v>12548.011264577146</v>
      </c>
      <c r="L843" s="10">
        <v>3</v>
      </c>
      <c r="M843" s="10">
        <v>0</v>
      </c>
      <c r="N843" s="9">
        <v>0</v>
      </c>
      <c r="O843" s="9">
        <f t="shared" si="6"/>
        <v>15250</v>
      </c>
      <c r="P843" s="9">
        <f t="shared" si="7"/>
        <v>12200</v>
      </c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spans="1:42" ht="13.2" x14ac:dyDescent="0.25">
      <c r="A844" s="3" t="s">
        <v>376</v>
      </c>
      <c r="B844" s="7">
        <v>44501</v>
      </c>
      <c r="C844" s="3" t="s">
        <v>36</v>
      </c>
      <c r="D844" s="8">
        <v>107.12661613266553</v>
      </c>
      <c r="E844" s="8">
        <v>60</v>
      </c>
      <c r="F844" s="9">
        <v>83901.520765951878</v>
      </c>
      <c r="G844" s="10">
        <v>0</v>
      </c>
      <c r="H844" s="9">
        <v>90000</v>
      </c>
      <c r="I844" s="10">
        <v>1</v>
      </c>
      <c r="J844" s="9">
        <v>90000</v>
      </c>
      <c r="K844" s="9">
        <v>6970.7507041839144</v>
      </c>
      <c r="L844" s="10">
        <v>6</v>
      </c>
      <c r="M844" s="10">
        <v>0</v>
      </c>
      <c r="N844" s="9">
        <v>0</v>
      </c>
      <c r="O844" s="9">
        <f t="shared" si="6"/>
        <v>2250</v>
      </c>
      <c r="P844" s="9">
        <f t="shared" si="7"/>
        <v>1800</v>
      </c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spans="1:42" ht="13.2" x14ac:dyDescent="0.25">
      <c r="A845" s="3" t="s">
        <v>455</v>
      </c>
      <c r="B845" s="7">
        <v>44501</v>
      </c>
      <c r="C845" s="3" t="s">
        <v>36</v>
      </c>
      <c r="D845" s="8">
        <v>3</v>
      </c>
      <c r="E845" s="8">
        <v>60</v>
      </c>
      <c r="F845" s="9">
        <v>341491.03271000931</v>
      </c>
      <c r="G845" s="10">
        <v>1</v>
      </c>
      <c r="H845" s="9">
        <v>570000</v>
      </c>
      <c r="I845" s="10">
        <v>0</v>
      </c>
      <c r="J845" s="9">
        <v>0</v>
      </c>
      <c r="K845" s="9">
        <v>0</v>
      </c>
      <c r="L845" s="10">
        <v>0</v>
      </c>
      <c r="M845" s="10">
        <v>0</v>
      </c>
      <c r="N845" s="9">
        <v>0</v>
      </c>
      <c r="O845" s="9">
        <f t="shared" si="6"/>
        <v>0</v>
      </c>
      <c r="P845" s="9">
        <f t="shared" si="7"/>
        <v>0</v>
      </c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spans="1:42" ht="13.2" x14ac:dyDescent="0.25">
      <c r="A846" s="3" t="s">
        <v>496</v>
      </c>
      <c r="B846" s="7">
        <v>44501</v>
      </c>
      <c r="C846" s="3" t="s">
        <v>36</v>
      </c>
      <c r="D846" s="8">
        <v>41.774743426878004</v>
      </c>
      <c r="E846" s="8">
        <v>111.88201726770998</v>
      </c>
      <c r="F846" s="9">
        <v>52106.945346366134</v>
      </c>
      <c r="G846" s="10">
        <v>-1</v>
      </c>
      <c r="H846" s="9">
        <v>40000</v>
      </c>
      <c r="I846" s="10">
        <v>1</v>
      </c>
      <c r="J846" s="9">
        <v>40000</v>
      </c>
      <c r="K846" s="9">
        <v>1727.4493741715371</v>
      </c>
      <c r="L846" s="10">
        <v>5</v>
      </c>
      <c r="M846" s="10">
        <v>0</v>
      </c>
      <c r="N846" s="9">
        <v>0</v>
      </c>
      <c r="O846" s="9">
        <f t="shared" si="6"/>
        <v>1000</v>
      </c>
      <c r="P846" s="9">
        <f t="shared" si="7"/>
        <v>800</v>
      </c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spans="1:42" ht="13.2" x14ac:dyDescent="0.25">
      <c r="A847" s="3" t="s">
        <v>497</v>
      </c>
      <c r="B847" s="7">
        <v>44501</v>
      </c>
      <c r="C847" s="3" t="s">
        <v>36</v>
      </c>
      <c r="D847" s="8">
        <v>39.746191694280945</v>
      </c>
      <c r="E847" s="8">
        <v>145.13488378791004</v>
      </c>
      <c r="F847" s="9">
        <v>67679.747315878252</v>
      </c>
      <c r="G847" s="10">
        <v>-1</v>
      </c>
      <c r="H847" s="9">
        <v>100000</v>
      </c>
      <c r="I847" s="10">
        <v>0</v>
      </c>
      <c r="J847" s="9">
        <v>0</v>
      </c>
      <c r="K847" s="9">
        <v>0</v>
      </c>
      <c r="L847" s="10">
        <v>0</v>
      </c>
      <c r="M847" s="10">
        <v>0</v>
      </c>
      <c r="N847" s="9">
        <v>0</v>
      </c>
      <c r="O847" s="9">
        <f t="shared" si="6"/>
        <v>0</v>
      </c>
      <c r="P847" s="9">
        <f t="shared" si="7"/>
        <v>0</v>
      </c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spans="1:42" ht="13.2" x14ac:dyDescent="0.25">
      <c r="A848" s="3" t="s">
        <v>57</v>
      </c>
      <c r="B848" s="7">
        <v>44501</v>
      </c>
      <c r="C848" s="3" t="s">
        <v>36</v>
      </c>
      <c r="D848" s="8">
        <v>36.050300631091019</v>
      </c>
      <c r="E848" s="8">
        <v>258.84605827816415</v>
      </c>
      <c r="F848" s="9">
        <v>492444.25657699839</v>
      </c>
      <c r="G848" s="10">
        <v>0</v>
      </c>
      <c r="H848" s="9">
        <v>630000</v>
      </c>
      <c r="I848" s="10">
        <v>0</v>
      </c>
      <c r="J848" s="9">
        <v>0</v>
      </c>
      <c r="K848" s="9">
        <v>0</v>
      </c>
      <c r="L848" s="10">
        <v>0</v>
      </c>
      <c r="M848" s="10">
        <v>0</v>
      </c>
      <c r="N848" s="9">
        <v>0</v>
      </c>
      <c r="O848" s="9">
        <f t="shared" si="6"/>
        <v>0</v>
      </c>
      <c r="P848" s="9">
        <f t="shared" si="7"/>
        <v>0</v>
      </c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spans="1:42" ht="13.2" x14ac:dyDescent="0.25">
      <c r="A849" s="3" t="s">
        <v>498</v>
      </c>
      <c r="B849" s="7">
        <v>44501</v>
      </c>
      <c r="C849" s="3" t="s">
        <v>36</v>
      </c>
      <c r="D849" s="8">
        <v>22.853726324334076</v>
      </c>
      <c r="E849" s="8">
        <v>271.5304414017678</v>
      </c>
      <c r="F849" s="9">
        <v>206283.87074201545</v>
      </c>
      <c r="G849" s="10">
        <v>-1</v>
      </c>
      <c r="H849" s="9">
        <v>140000</v>
      </c>
      <c r="I849" s="10">
        <v>1</v>
      </c>
      <c r="J849" s="9">
        <v>140000</v>
      </c>
      <c r="K849" s="9">
        <v>13753.187205502112</v>
      </c>
      <c r="L849" s="10">
        <v>6</v>
      </c>
      <c r="M849" s="10">
        <v>0</v>
      </c>
      <c r="N849" s="9">
        <v>0</v>
      </c>
      <c r="O849" s="9">
        <f t="shared" si="6"/>
        <v>3500</v>
      </c>
      <c r="P849" s="9">
        <f t="shared" si="7"/>
        <v>2800</v>
      </c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spans="1:42" ht="13.2" x14ac:dyDescent="0.25">
      <c r="A850" s="3" t="s">
        <v>248</v>
      </c>
      <c r="B850" s="7">
        <v>44501</v>
      </c>
      <c r="C850" s="3" t="s">
        <v>36</v>
      </c>
      <c r="D850" s="8">
        <v>83.066682179714405</v>
      </c>
      <c r="E850" s="8">
        <v>341.66749813695179</v>
      </c>
      <c r="F850" s="9">
        <v>291172.20230907173</v>
      </c>
      <c r="G850" s="10">
        <v>0</v>
      </c>
      <c r="H850" s="9">
        <v>200000</v>
      </c>
      <c r="I850" s="10">
        <v>1</v>
      </c>
      <c r="J850" s="9">
        <v>200000</v>
      </c>
      <c r="K850" s="9">
        <v>6891.9981692126221</v>
      </c>
      <c r="L850" s="10">
        <v>7</v>
      </c>
      <c r="M850" s="10">
        <v>0</v>
      </c>
      <c r="N850" s="9">
        <v>0</v>
      </c>
      <c r="O850" s="9">
        <f t="shared" si="6"/>
        <v>5000</v>
      </c>
      <c r="P850" s="9">
        <f t="shared" si="7"/>
        <v>4000</v>
      </c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spans="1:42" ht="13.2" x14ac:dyDescent="0.25">
      <c r="A851" s="3" t="s">
        <v>499</v>
      </c>
      <c r="B851" s="7">
        <v>44501</v>
      </c>
      <c r="C851" s="3" t="s">
        <v>36</v>
      </c>
      <c r="D851" s="8">
        <v>3</v>
      </c>
      <c r="E851" s="8">
        <v>316.40965371045041</v>
      </c>
      <c r="F851" s="9">
        <v>105601.18836787863</v>
      </c>
      <c r="G851" s="10">
        <v>-1</v>
      </c>
      <c r="H851" s="9">
        <v>90000</v>
      </c>
      <c r="I851" s="10">
        <v>0</v>
      </c>
      <c r="J851" s="9">
        <v>0</v>
      </c>
      <c r="K851" s="9">
        <v>0</v>
      </c>
      <c r="L851" s="10">
        <v>0</v>
      </c>
      <c r="M851" s="10">
        <v>0</v>
      </c>
      <c r="N851" s="9">
        <v>0</v>
      </c>
      <c r="O851" s="9">
        <f t="shared" si="6"/>
        <v>0</v>
      </c>
      <c r="P851" s="9">
        <f t="shared" si="7"/>
        <v>0</v>
      </c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spans="1:42" ht="13.2" x14ac:dyDescent="0.25">
      <c r="A852" s="3" t="s">
        <v>175</v>
      </c>
      <c r="B852" s="7">
        <v>44501</v>
      </c>
      <c r="C852" s="3" t="s">
        <v>36</v>
      </c>
      <c r="D852" s="8">
        <v>15.252257102340856</v>
      </c>
      <c r="E852" s="8">
        <v>111.04655291469862</v>
      </c>
      <c r="F852" s="9">
        <v>118352.64224688268</v>
      </c>
      <c r="G852" s="10">
        <v>-1</v>
      </c>
      <c r="H852" s="9">
        <v>240000</v>
      </c>
      <c r="I852" s="10">
        <v>0</v>
      </c>
      <c r="J852" s="9">
        <v>0</v>
      </c>
      <c r="K852" s="9">
        <v>0</v>
      </c>
      <c r="L852" s="10">
        <v>0</v>
      </c>
      <c r="M852" s="10">
        <v>0</v>
      </c>
      <c r="N852" s="9">
        <v>0</v>
      </c>
      <c r="O852" s="9">
        <f t="shared" si="6"/>
        <v>0</v>
      </c>
      <c r="P852" s="9">
        <f t="shared" si="7"/>
        <v>0</v>
      </c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spans="1:42" ht="13.2" x14ac:dyDescent="0.25">
      <c r="A853" s="3" t="s">
        <v>500</v>
      </c>
      <c r="B853" s="7">
        <v>44501</v>
      </c>
      <c r="C853" s="3" t="s">
        <v>36</v>
      </c>
      <c r="D853" s="8">
        <v>169.92938054811046</v>
      </c>
      <c r="E853" s="8">
        <v>60</v>
      </c>
      <c r="F853" s="9">
        <v>32502.746156697041</v>
      </c>
      <c r="G853" s="10">
        <v>0</v>
      </c>
      <c r="H853" s="9">
        <v>50000</v>
      </c>
      <c r="I853" s="10">
        <v>1</v>
      </c>
      <c r="J853" s="9">
        <v>50000</v>
      </c>
      <c r="K853" s="9">
        <v>5416.6756791492244</v>
      </c>
      <c r="L853" s="10">
        <v>6</v>
      </c>
      <c r="M853" s="10">
        <v>0</v>
      </c>
      <c r="N853" s="9">
        <v>0</v>
      </c>
      <c r="O853" s="9">
        <f t="shared" si="6"/>
        <v>1250</v>
      </c>
      <c r="P853" s="9">
        <f t="shared" si="7"/>
        <v>1000</v>
      </c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spans="1:42" ht="13.2" x14ac:dyDescent="0.25">
      <c r="A854" s="3" t="s">
        <v>356</v>
      </c>
      <c r="B854" s="7">
        <v>44501</v>
      </c>
      <c r="C854" s="3" t="s">
        <v>63</v>
      </c>
      <c r="D854" s="8">
        <v>67.472699545474853</v>
      </c>
      <c r="E854" s="8">
        <v>99.226770086779595</v>
      </c>
      <c r="F854" s="9">
        <v>257908.19877494581</v>
      </c>
      <c r="G854" s="10">
        <v>1</v>
      </c>
      <c r="H854" s="9">
        <v>330000</v>
      </c>
      <c r="I854" s="10">
        <v>1</v>
      </c>
      <c r="J854" s="9">
        <v>330000</v>
      </c>
      <c r="K854" s="9">
        <v>27068.149069158098</v>
      </c>
      <c r="L854" s="10">
        <v>6</v>
      </c>
      <c r="M854" s="10">
        <v>0</v>
      </c>
      <c r="N854" s="9">
        <v>0</v>
      </c>
      <c r="O854" s="9">
        <f t="shared" si="6"/>
        <v>8250</v>
      </c>
      <c r="P854" s="9">
        <f t="shared" si="7"/>
        <v>6600</v>
      </c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spans="1:42" ht="13.2" x14ac:dyDescent="0.25">
      <c r="A855" s="3" t="s">
        <v>501</v>
      </c>
      <c r="B855" s="7">
        <v>44501</v>
      </c>
      <c r="C855" s="3" t="s">
        <v>36</v>
      </c>
      <c r="D855" s="8">
        <v>45.574946076087826</v>
      </c>
      <c r="E855" s="8">
        <v>60</v>
      </c>
      <c r="F855" s="9">
        <v>348105.54678689071</v>
      </c>
      <c r="G855" s="10">
        <v>-1</v>
      </c>
      <c r="H855" s="9">
        <v>360000</v>
      </c>
      <c r="I855" s="10">
        <v>1</v>
      </c>
      <c r="J855" s="9">
        <v>360000</v>
      </c>
      <c r="K855" s="9">
        <v>35754.605502276077</v>
      </c>
      <c r="L855" s="10">
        <v>6</v>
      </c>
      <c r="M855" s="10">
        <v>0</v>
      </c>
      <c r="N855" s="9">
        <v>0</v>
      </c>
      <c r="O855" s="9">
        <f t="shared" si="6"/>
        <v>9000</v>
      </c>
      <c r="P855" s="9">
        <f t="shared" si="7"/>
        <v>7200</v>
      </c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spans="1:42" ht="13.2" x14ac:dyDescent="0.25">
      <c r="A856" s="3" t="s">
        <v>468</v>
      </c>
      <c r="B856" s="7">
        <v>44501</v>
      </c>
      <c r="C856" s="3" t="s">
        <v>36</v>
      </c>
      <c r="D856" s="8">
        <v>3</v>
      </c>
      <c r="E856" s="8">
        <v>60</v>
      </c>
      <c r="F856" s="9">
        <v>124343.71053733815</v>
      </c>
      <c r="G856" s="10">
        <v>1</v>
      </c>
      <c r="H856" s="9">
        <v>230000</v>
      </c>
      <c r="I856" s="10">
        <v>0</v>
      </c>
      <c r="J856" s="9">
        <v>0</v>
      </c>
      <c r="K856" s="9">
        <v>0</v>
      </c>
      <c r="L856" s="10">
        <v>0</v>
      </c>
      <c r="M856" s="10">
        <v>0</v>
      </c>
      <c r="N856" s="9">
        <v>0</v>
      </c>
      <c r="O856" s="9">
        <f t="shared" si="6"/>
        <v>0</v>
      </c>
      <c r="P856" s="9">
        <f t="shared" si="7"/>
        <v>0</v>
      </c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spans="1:42" ht="13.2" x14ac:dyDescent="0.25">
      <c r="A857" s="3" t="s">
        <v>374</v>
      </c>
      <c r="B857" s="7">
        <v>44501</v>
      </c>
      <c r="C857" s="3" t="s">
        <v>36</v>
      </c>
      <c r="D857" s="8">
        <v>24.000105365910549</v>
      </c>
      <c r="E857" s="8">
        <v>245.8560425674907</v>
      </c>
      <c r="F857" s="9">
        <v>1400635.1349607189</v>
      </c>
      <c r="G857" s="10">
        <v>1</v>
      </c>
      <c r="H857" s="9">
        <v>940000</v>
      </c>
      <c r="I857" s="10">
        <v>1</v>
      </c>
      <c r="J857" s="9">
        <v>940000</v>
      </c>
      <c r="K857" s="9">
        <v>64739.656504594874</v>
      </c>
      <c r="L857" s="10">
        <v>10</v>
      </c>
      <c r="M857" s="10">
        <v>0</v>
      </c>
      <c r="N857" s="9">
        <v>0</v>
      </c>
      <c r="O857" s="9">
        <f t="shared" si="6"/>
        <v>23500</v>
      </c>
      <c r="P857" s="9">
        <f t="shared" si="7"/>
        <v>18800</v>
      </c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spans="1:42" ht="13.2" x14ac:dyDescent="0.25">
      <c r="A858" s="3" t="s">
        <v>502</v>
      </c>
      <c r="B858" s="7">
        <v>44501</v>
      </c>
      <c r="C858" s="3" t="s">
        <v>36</v>
      </c>
      <c r="D858" s="8">
        <v>3.2690891562105886</v>
      </c>
      <c r="E858" s="8">
        <v>60</v>
      </c>
      <c r="F858" s="9">
        <v>42604.859968323639</v>
      </c>
      <c r="G858" s="10">
        <v>0</v>
      </c>
      <c r="H858" s="9">
        <v>70000</v>
      </c>
      <c r="I858" s="10">
        <v>1</v>
      </c>
      <c r="J858" s="9">
        <v>70000</v>
      </c>
      <c r="K858" s="9">
        <v>4051.639461033516</v>
      </c>
      <c r="L858" s="10">
        <v>4</v>
      </c>
      <c r="M858" s="10">
        <v>0</v>
      </c>
      <c r="N858" s="9">
        <v>0</v>
      </c>
      <c r="O858" s="9">
        <f t="shared" si="6"/>
        <v>1750</v>
      </c>
      <c r="P858" s="9">
        <f t="shared" si="7"/>
        <v>1400</v>
      </c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spans="1:42" ht="13.2" x14ac:dyDescent="0.25">
      <c r="A859" s="3" t="s">
        <v>452</v>
      </c>
      <c r="B859" s="7">
        <v>44531</v>
      </c>
      <c r="C859" s="3" t="s">
        <v>36</v>
      </c>
      <c r="D859" s="8">
        <v>4.6865634201084632</v>
      </c>
      <c r="E859" s="8">
        <v>345.90968258516398</v>
      </c>
      <c r="F859" s="9">
        <v>45586.356333838012</v>
      </c>
      <c r="G859" s="10">
        <v>-1</v>
      </c>
      <c r="H859" s="9">
        <v>30000</v>
      </c>
      <c r="I859" s="10">
        <v>1</v>
      </c>
      <c r="J859" s="9">
        <v>30000</v>
      </c>
      <c r="K859" s="9">
        <v>1345.9458579687309</v>
      </c>
      <c r="L859" s="10">
        <v>6</v>
      </c>
      <c r="M859" s="10">
        <v>0</v>
      </c>
      <c r="N859" s="9">
        <v>0</v>
      </c>
      <c r="O859" s="9">
        <f t="shared" si="6"/>
        <v>750</v>
      </c>
      <c r="P859" s="9">
        <f t="shared" si="7"/>
        <v>600</v>
      </c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spans="1:42" ht="13.2" x14ac:dyDescent="0.25">
      <c r="A860" s="3" t="s">
        <v>276</v>
      </c>
      <c r="B860" s="7">
        <v>44531</v>
      </c>
      <c r="C860" s="3" t="s">
        <v>36</v>
      </c>
      <c r="D860" s="8">
        <v>106.93179251472544</v>
      </c>
      <c r="E860" s="8">
        <v>60</v>
      </c>
      <c r="F860" s="9">
        <v>37884.531492794034</v>
      </c>
      <c r="G860" s="10">
        <v>1</v>
      </c>
      <c r="H860" s="9">
        <v>50000</v>
      </c>
      <c r="I860" s="10">
        <v>0</v>
      </c>
      <c r="J860" s="9">
        <v>0</v>
      </c>
      <c r="K860" s="9">
        <v>0</v>
      </c>
      <c r="L860" s="10">
        <v>0</v>
      </c>
      <c r="M860" s="10">
        <v>0</v>
      </c>
      <c r="N860" s="9">
        <v>0</v>
      </c>
      <c r="O860" s="9">
        <f t="shared" si="6"/>
        <v>0</v>
      </c>
      <c r="P860" s="9">
        <f t="shared" si="7"/>
        <v>0</v>
      </c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spans="1:42" ht="13.2" x14ac:dyDescent="0.25">
      <c r="A861" s="3" t="s">
        <v>503</v>
      </c>
      <c r="B861" s="7">
        <v>44531</v>
      </c>
      <c r="C861" s="3" t="s">
        <v>36</v>
      </c>
      <c r="D861" s="8">
        <v>3</v>
      </c>
      <c r="E861" s="8">
        <v>60</v>
      </c>
      <c r="F861" s="9">
        <v>13595.715359467931</v>
      </c>
      <c r="G861" s="10">
        <v>0</v>
      </c>
      <c r="H861" s="9">
        <v>20000</v>
      </c>
      <c r="I861" s="10">
        <v>0</v>
      </c>
      <c r="J861" s="9">
        <v>0</v>
      </c>
      <c r="K861" s="9">
        <v>0</v>
      </c>
      <c r="L861" s="10">
        <v>0</v>
      </c>
      <c r="M861" s="10">
        <v>0</v>
      </c>
      <c r="N861" s="9">
        <v>0</v>
      </c>
      <c r="O861" s="9">
        <f t="shared" si="6"/>
        <v>0</v>
      </c>
      <c r="P861" s="9">
        <f t="shared" si="7"/>
        <v>0</v>
      </c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spans="1:42" ht="13.2" x14ac:dyDescent="0.25">
      <c r="A862" s="3" t="s">
        <v>491</v>
      </c>
      <c r="B862" s="7">
        <v>44531</v>
      </c>
      <c r="C862" s="3" t="s">
        <v>36</v>
      </c>
      <c r="D862" s="8">
        <v>105.39214594049898</v>
      </c>
      <c r="E862" s="8">
        <v>294.1708154712727</v>
      </c>
      <c r="F862" s="9">
        <v>30328.432695359599</v>
      </c>
      <c r="G862" s="10">
        <v>1</v>
      </c>
      <c r="H862" s="9">
        <v>20000</v>
      </c>
      <c r="I862" s="10">
        <v>1</v>
      </c>
      <c r="J862" s="9">
        <v>20000</v>
      </c>
      <c r="K862" s="9">
        <v>824.19723777894751</v>
      </c>
      <c r="L862" s="10">
        <v>3</v>
      </c>
      <c r="M862" s="10">
        <v>0</v>
      </c>
      <c r="N862" s="9">
        <v>0</v>
      </c>
      <c r="O862" s="9">
        <f t="shared" si="6"/>
        <v>500</v>
      </c>
      <c r="P862" s="9">
        <f t="shared" si="7"/>
        <v>400</v>
      </c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spans="1:42" ht="13.2" x14ac:dyDescent="0.25">
      <c r="A863" s="3" t="s">
        <v>290</v>
      </c>
      <c r="B863" s="7">
        <v>44531</v>
      </c>
      <c r="C863" s="3" t="s">
        <v>36</v>
      </c>
      <c r="D863" s="8">
        <v>30.020931965013141</v>
      </c>
      <c r="E863" s="8">
        <v>60</v>
      </c>
      <c r="F863" s="9">
        <v>922.55539017159174</v>
      </c>
      <c r="G863" s="10">
        <v>0</v>
      </c>
      <c r="H863" s="9">
        <v>1351.3513513513515</v>
      </c>
      <c r="I863" s="10">
        <v>1</v>
      </c>
      <c r="J863" s="9">
        <v>1351.3513513513515</v>
      </c>
      <c r="K863" s="9">
        <v>56.656430955354331</v>
      </c>
      <c r="L863" s="10">
        <v>6</v>
      </c>
      <c r="M863" s="10">
        <v>0</v>
      </c>
      <c r="N863" s="9">
        <v>0</v>
      </c>
      <c r="O863" s="9">
        <f t="shared" si="6"/>
        <v>33.78378378378379</v>
      </c>
      <c r="P863" s="9">
        <f t="shared" si="7"/>
        <v>27.027027027027032</v>
      </c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spans="1:42" ht="13.2" x14ac:dyDescent="0.25">
      <c r="A864" s="3" t="s">
        <v>504</v>
      </c>
      <c r="B864" s="7">
        <v>44531</v>
      </c>
      <c r="C864" s="3" t="s">
        <v>63</v>
      </c>
      <c r="D864" s="8">
        <v>36.400889047880831</v>
      </c>
      <c r="E864" s="8">
        <v>175.99617495321417</v>
      </c>
      <c r="F864" s="9">
        <v>71042.828721240818</v>
      </c>
      <c r="G864" s="10">
        <v>0</v>
      </c>
      <c r="H864" s="9">
        <v>70000</v>
      </c>
      <c r="I864" s="10">
        <v>0</v>
      </c>
      <c r="J864" s="9">
        <v>0</v>
      </c>
      <c r="K864" s="9">
        <v>0</v>
      </c>
      <c r="L864" s="10">
        <v>0</v>
      </c>
      <c r="M864" s="10">
        <v>0</v>
      </c>
      <c r="N864" s="9">
        <v>0</v>
      </c>
      <c r="O864" s="9">
        <f t="shared" si="6"/>
        <v>0</v>
      </c>
      <c r="P864" s="9">
        <f t="shared" si="7"/>
        <v>0</v>
      </c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spans="1:42" ht="13.2" x14ac:dyDescent="0.25">
      <c r="A865" s="3" t="s">
        <v>489</v>
      </c>
      <c r="B865" s="7">
        <v>44531</v>
      </c>
      <c r="C865" s="3" t="s">
        <v>36</v>
      </c>
      <c r="D865" s="8">
        <v>3</v>
      </c>
      <c r="E865" s="8">
        <v>227.65948625536979</v>
      </c>
      <c r="F865" s="9">
        <v>32709.173097659455</v>
      </c>
      <c r="G865" s="10">
        <v>1</v>
      </c>
      <c r="H865" s="9">
        <v>40000</v>
      </c>
      <c r="I865" s="10">
        <v>0</v>
      </c>
      <c r="J865" s="9">
        <v>0</v>
      </c>
      <c r="K865" s="9">
        <v>0</v>
      </c>
      <c r="L865" s="10">
        <v>0</v>
      </c>
      <c r="M865" s="10">
        <v>0</v>
      </c>
      <c r="N865" s="9">
        <v>0</v>
      </c>
      <c r="O865" s="9">
        <f t="shared" si="6"/>
        <v>0</v>
      </c>
      <c r="P865" s="9">
        <f t="shared" si="7"/>
        <v>0</v>
      </c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spans="1:42" ht="13.2" x14ac:dyDescent="0.25">
      <c r="A866" s="3" t="s">
        <v>57</v>
      </c>
      <c r="B866" s="7">
        <v>44531</v>
      </c>
      <c r="C866" s="3" t="s">
        <v>36</v>
      </c>
      <c r="D866" s="8">
        <v>41.310513086796966</v>
      </c>
      <c r="E866" s="8">
        <v>60</v>
      </c>
      <c r="F866" s="9">
        <v>602392.19416673225</v>
      </c>
      <c r="G866" s="10">
        <v>-1</v>
      </c>
      <c r="H866" s="9">
        <v>590000</v>
      </c>
      <c r="I866" s="10">
        <v>0</v>
      </c>
      <c r="J866" s="9">
        <v>0</v>
      </c>
      <c r="K866" s="9">
        <v>0</v>
      </c>
      <c r="L866" s="10">
        <v>0</v>
      </c>
      <c r="M866" s="10">
        <v>0</v>
      </c>
      <c r="N866" s="9">
        <v>0</v>
      </c>
      <c r="O866" s="9">
        <f t="shared" si="6"/>
        <v>0</v>
      </c>
      <c r="P866" s="9">
        <f t="shared" si="7"/>
        <v>0</v>
      </c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spans="1:42" ht="13.2" x14ac:dyDescent="0.25">
      <c r="A867" s="3" t="s">
        <v>416</v>
      </c>
      <c r="B867" s="7">
        <v>44531</v>
      </c>
      <c r="C867" s="3" t="s">
        <v>36</v>
      </c>
      <c r="D867" s="8">
        <v>93.725757810882143</v>
      </c>
      <c r="E867" s="8">
        <v>60</v>
      </c>
      <c r="F867" s="9">
        <v>755927.04304675444</v>
      </c>
      <c r="G867" s="10">
        <v>-1</v>
      </c>
      <c r="H867" s="9">
        <v>1150000</v>
      </c>
      <c r="I867" s="10">
        <v>0</v>
      </c>
      <c r="J867" s="9">
        <v>0</v>
      </c>
      <c r="K867" s="9">
        <v>0</v>
      </c>
      <c r="L867" s="10">
        <v>0</v>
      </c>
      <c r="M867" s="10">
        <v>0</v>
      </c>
      <c r="N867" s="9">
        <v>0</v>
      </c>
      <c r="O867" s="9">
        <f t="shared" si="6"/>
        <v>0</v>
      </c>
      <c r="P867" s="9">
        <f t="shared" si="7"/>
        <v>0</v>
      </c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spans="1:42" ht="13.2" x14ac:dyDescent="0.25">
      <c r="A868" s="3" t="s">
        <v>474</v>
      </c>
      <c r="B868" s="7">
        <v>44531</v>
      </c>
      <c r="C868" s="3" t="s">
        <v>36</v>
      </c>
      <c r="D868" s="8">
        <v>21.257459264793255</v>
      </c>
      <c r="E868" s="8">
        <v>113.90443240234632</v>
      </c>
      <c r="F868" s="9">
        <v>6083.0602683797388</v>
      </c>
      <c r="G868" s="10">
        <v>0</v>
      </c>
      <c r="H868" s="9">
        <v>10000</v>
      </c>
      <c r="I868" s="10">
        <v>0</v>
      </c>
      <c r="J868" s="9">
        <v>0</v>
      </c>
      <c r="K868" s="9">
        <v>0</v>
      </c>
      <c r="L868" s="10">
        <v>0</v>
      </c>
      <c r="M868" s="10">
        <v>0</v>
      </c>
      <c r="N868" s="9">
        <v>0</v>
      </c>
      <c r="O868" s="9">
        <f t="shared" si="6"/>
        <v>0</v>
      </c>
      <c r="P868" s="9">
        <f t="shared" si="7"/>
        <v>0</v>
      </c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spans="1:42" ht="13.2" x14ac:dyDescent="0.25">
      <c r="A869" s="3" t="s">
        <v>180</v>
      </c>
      <c r="B869" s="7">
        <v>44531</v>
      </c>
      <c r="C869" s="3" t="s">
        <v>36</v>
      </c>
      <c r="D869" s="8">
        <v>22.077731540149824</v>
      </c>
      <c r="E869" s="8">
        <v>131.1466890686325</v>
      </c>
      <c r="F869" s="9">
        <v>741794.12703289057</v>
      </c>
      <c r="G869" s="10">
        <v>-1</v>
      </c>
      <c r="H869" s="9">
        <v>1030000</v>
      </c>
      <c r="I869" s="10">
        <v>1</v>
      </c>
      <c r="J869" s="9">
        <v>1030000</v>
      </c>
      <c r="K869" s="9">
        <v>116733.42466814292</v>
      </c>
      <c r="L869" s="10">
        <v>8</v>
      </c>
      <c r="M869" s="10">
        <v>0</v>
      </c>
      <c r="N869" s="9">
        <v>0</v>
      </c>
      <c r="O869" s="9">
        <f t="shared" si="6"/>
        <v>25750</v>
      </c>
      <c r="P869" s="9">
        <f t="shared" si="7"/>
        <v>20600</v>
      </c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spans="1:42" ht="13.2" x14ac:dyDescent="0.25">
      <c r="A870" s="3" t="s">
        <v>505</v>
      </c>
      <c r="B870" s="7">
        <v>44531</v>
      </c>
      <c r="C870" s="3" t="s">
        <v>36</v>
      </c>
      <c r="D870" s="8">
        <v>3.0724791301404579</v>
      </c>
      <c r="E870" s="8">
        <v>60</v>
      </c>
      <c r="F870" s="9">
        <v>212493.1068211472</v>
      </c>
      <c r="G870" s="10">
        <v>0</v>
      </c>
      <c r="H870" s="9">
        <v>350000</v>
      </c>
      <c r="I870" s="10">
        <v>0</v>
      </c>
      <c r="J870" s="9">
        <v>0</v>
      </c>
      <c r="K870" s="9">
        <v>0</v>
      </c>
      <c r="L870" s="10">
        <v>0</v>
      </c>
      <c r="M870" s="10">
        <v>0</v>
      </c>
      <c r="N870" s="9">
        <v>0</v>
      </c>
      <c r="O870" s="9">
        <f t="shared" si="6"/>
        <v>0</v>
      </c>
      <c r="P870" s="9">
        <f t="shared" si="7"/>
        <v>0</v>
      </c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spans="1:42" ht="13.2" x14ac:dyDescent="0.25">
      <c r="A871" s="3" t="s">
        <v>506</v>
      </c>
      <c r="B871" s="7">
        <v>44531</v>
      </c>
      <c r="C871" s="3" t="s">
        <v>36</v>
      </c>
      <c r="D871" s="8">
        <v>48.126118674917585</v>
      </c>
      <c r="E871" s="8">
        <v>168.33684348615844</v>
      </c>
      <c r="F871" s="9">
        <v>104238.45591925485</v>
      </c>
      <c r="G871" s="10">
        <v>0</v>
      </c>
      <c r="H871" s="9">
        <v>100000</v>
      </c>
      <c r="I871" s="10">
        <v>1</v>
      </c>
      <c r="J871" s="9">
        <v>100000</v>
      </c>
      <c r="K871" s="9">
        <v>14375.686530459425</v>
      </c>
      <c r="L871" s="10">
        <v>8</v>
      </c>
      <c r="M871" s="10">
        <v>0</v>
      </c>
      <c r="N871" s="9">
        <v>0</v>
      </c>
      <c r="O871" s="9">
        <f t="shared" si="6"/>
        <v>2500</v>
      </c>
      <c r="P871" s="9">
        <f t="shared" si="7"/>
        <v>2000</v>
      </c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spans="1:42" ht="13.2" x14ac:dyDescent="0.25">
      <c r="A872" s="3" t="s">
        <v>67</v>
      </c>
      <c r="B872" s="7">
        <v>44531</v>
      </c>
      <c r="C872" s="3" t="s">
        <v>36</v>
      </c>
      <c r="D872" s="8">
        <v>3.6311121069422185</v>
      </c>
      <c r="E872" s="8">
        <v>60</v>
      </c>
      <c r="F872" s="9">
        <v>714668.70752860222</v>
      </c>
      <c r="G872" s="10">
        <v>0</v>
      </c>
      <c r="H872" s="9">
        <v>1370000</v>
      </c>
      <c r="I872" s="10">
        <v>0</v>
      </c>
      <c r="J872" s="9">
        <v>0</v>
      </c>
      <c r="K872" s="9">
        <v>0</v>
      </c>
      <c r="L872" s="10">
        <v>0</v>
      </c>
      <c r="M872" s="10">
        <v>0</v>
      </c>
      <c r="N872" s="9">
        <v>0</v>
      </c>
      <c r="O872" s="9">
        <f t="shared" si="6"/>
        <v>0</v>
      </c>
      <c r="P872" s="9">
        <f t="shared" si="7"/>
        <v>0</v>
      </c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spans="1:42" ht="13.2" x14ac:dyDescent="0.25">
      <c r="A873" s="3" t="s">
        <v>165</v>
      </c>
      <c r="B873" s="7">
        <v>44531</v>
      </c>
      <c r="C873" s="3" t="s">
        <v>36</v>
      </c>
      <c r="D873" s="8">
        <v>70.37398278185654</v>
      </c>
      <c r="E873" s="8">
        <v>109.17952146100811</v>
      </c>
      <c r="F873" s="9">
        <v>72748.679836767711</v>
      </c>
      <c r="G873" s="10">
        <v>1</v>
      </c>
      <c r="H873" s="9">
        <v>70000</v>
      </c>
      <c r="I873" s="10">
        <v>1</v>
      </c>
      <c r="J873" s="9">
        <v>70000</v>
      </c>
      <c r="K873" s="9">
        <v>3670.9032614045218</v>
      </c>
      <c r="L873" s="10">
        <v>6</v>
      </c>
      <c r="M873" s="10">
        <v>0</v>
      </c>
      <c r="N873" s="9">
        <v>0</v>
      </c>
      <c r="O873" s="9">
        <f t="shared" si="6"/>
        <v>1750</v>
      </c>
      <c r="P873" s="9">
        <f t="shared" si="7"/>
        <v>1400</v>
      </c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spans="1:42" ht="13.2" x14ac:dyDescent="0.25">
      <c r="A874" s="3" t="s">
        <v>380</v>
      </c>
      <c r="B874" s="7">
        <v>44531</v>
      </c>
      <c r="C874" s="3" t="s">
        <v>39</v>
      </c>
      <c r="D874" s="8">
        <v>83.916518692148458</v>
      </c>
      <c r="E874" s="8">
        <v>60</v>
      </c>
      <c r="F874" s="9">
        <v>684221.22662737535</v>
      </c>
      <c r="G874" s="10">
        <v>-1</v>
      </c>
      <c r="H874" s="9">
        <v>550000</v>
      </c>
      <c r="I874" s="10">
        <v>0</v>
      </c>
      <c r="J874" s="9">
        <v>0</v>
      </c>
      <c r="K874" s="9">
        <v>0</v>
      </c>
      <c r="L874" s="10">
        <v>0</v>
      </c>
      <c r="M874" s="10">
        <v>0</v>
      </c>
      <c r="N874" s="9">
        <v>0</v>
      </c>
      <c r="O874" s="9">
        <f t="shared" si="6"/>
        <v>0</v>
      </c>
      <c r="P874" s="9">
        <f t="shared" si="7"/>
        <v>0</v>
      </c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spans="1:42" ht="13.2" x14ac:dyDescent="0.25">
      <c r="A875" s="3" t="s">
        <v>483</v>
      </c>
      <c r="B875" s="7">
        <v>44562</v>
      </c>
      <c r="C875" s="3" t="s">
        <v>36</v>
      </c>
      <c r="D875" s="8">
        <v>40.098893824272629</v>
      </c>
      <c r="E875" s="8">
        <v>166.39782523037337</v>
      </c>
      <c r="F875" s="9">
        <v>14176.946736811022</v>
      </c>
      <c r="G875" s="10">
        <v>-1</v>
      </c>
      <c r="H875" s="9">
        <v>20000</v>
      </c>
      <c r="I875" s="10">
        <v>1</v>
      </c>
      <c r="J875" s="9">
        <v>20000</v>
      </c>
      <c r="K875" s="9">
        <v>1218.7014341742952</v>
      </c>
      <c r="L875" s="10">
        <v>6</v>
      </c>
      <c r="M875" s="10">
        <v>0</v>
      </c>
      <c r="N875" s="9">
        <v>0</v>
      </c>
      <c r="O875" s="9">
        <f t="shared" si="6"/>
        <v>500</v>
      </c>
      <c r="P875" s="9">
        <f t="shared" si="7"/>
        <v>400</v>
      </c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spans="1:42" ht="13.2" x14ac:dyDescent="0.25">
      <c r="A876" s="3" t="s">
        <v>507</v>
      </c>
      <c r="B876" s="7">
        <v>44562</v>
      </c>
      <c r="C876" s="3" t="s">
        <v>36</v>
      </c>
      <c r="D876" s="8">
        <v>56.037798619237655</v>
      </c>
      <c r="E876" s="8">
        <v>216.62285490364883</v>
      </c>
      <c r="F876" s="9">
        <v>747323.82851944841</v>
      </c>
      <c r="G876" s="10">
        <v>1</v>
      </c>
      <c r="H876" s="9">
        <v>880000</v>
      </c>
      <c r="I876" s="10">
        <v>1</v>
      </c>
      <c r="J876" s="9">
        <v>880000</v>
      </c>
      <c r="K876" s="9">
        <v>158208.36042674372</v>
      </c>
      <c r="L876" s="10">
        <v>18</v>
      </c>
      <c r="M876" s="10">
        <v>0</v>
      </c>
      <c r="N876" s="9">
        <v>0</v>
      </c>
      <c r="O876" s="9">
        <f t="shared" si="6"/>
        <v>22000</v>
      </c>
      <c r="P876" s="9">
        <f t="shared" si="7"/>
        <v>17600</v>
      </c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spans="1:42" ht="13.2" x14ac:dyDescent="0.25">
      <c r="A877" s="3" t="s">
        <v>45</v>
      </c>
      <c r="B877" s="7">
        <v>44562</v>
      </c>
      <c r="C877" s="3" t="s">
        <v>36</v>
      </c>
      <c r="D877" s="8">
        <v>60.122051138493568</v>
      </c>
      <c r="E877" s="8">
        <v>60</v>
      </c>
      <c r="F877" s="9">
        <v>47969.57156842477</v>
      </c>
      <c r="G877" s="10">
        <v>0</v>
      </c>
      <c r="H877" s="9">
        <v>50000</v>
      </c>
      <c r="I877" s="10">
        <v>1</v>
      </c>
      <c r="J877" s="9">
        <v>50000</v>
      </c>
      <c r="K877" s="9">
        <v>2295.0607134105467</v>
      </c>
      <c r="L877" s="10">
        <v>7</v>
      </c>
      <c r="M877" s="10">
        <v>0</v>
      </c>
      <c r="N877" s="9">
        <v>0</v>
      </c>
      <c r="O877" s="9">
        <f t="shared" si="6"/>
        <v>1250</v>
      </c>
      <c r="P877" s="9">
        <f t="shared" si="7"/>
        <v>1000</v>
      </c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spans="1:42" ht="13.2" x14ac:dyDescent="0.25">
      <c r="A878" s="3" t="s">
        <v>508</v>
      </c>
      <c r="B878" s="7">
        <v>44562</v>
      </c>
      <c r="C878" s="3" t="s">
        <v>36</v>
      </c>
      <c r="D878" s="8">
        <v>52.076038753159828</v>
      </c>
      <c r="E878" s="8">
        <v>60</v>
      </c>
      <c r="F878" s="9">
        <v>38345.779519012416</v>
      </c>
      <c r="G878" s="10">
        <v>0</v>
      </c>
      <c r="H878" s="9">
        <v>50000</v>
      </c>
      <c r="I878" s="10">
        <v>1</v>
      </c>
      <c r="J878" s="9">
        <v>50000</v>
      </c>
      <c r="K878" s="9">
        <v>4752.6001901486788</v>
      </c>
      <c r="L878" s="10">
        <v>5</v>
      </c>
      <c r="M878" s="10">
        <v>0</v>
      </c>
      <c r="N878" s="9">
        <v>0</v>
      </c>
      <c r="O878" s="9">
        <f t="shared" si="6"/>
        <v>1250</v>
      </c>
      <c r="P878" s="9">
        <f t="shared" si="7"/>
        <v>1000</v>
      </c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spans="1:42" ht="13.2" x14ac:dyDescent="0.25">
      <c r="A879" s="3" t="s">
        <v>509</v>
      </c>
      <c r="B879" s="7">
        <v>44562</v>
      </c>
      <c r="C879" s="3" t="s">
        <v>36</v>
      </c>
      <c r="D879" s="8">
        <v>3</v>
      </c>
      <c r="E879" s="8">
        <v>60</v>
      </c>
      <c r="F879" s="9">
        <v>256082.39984773792</v>
      </c>
      <c r="G879" s="10">
        <v>-1</v>
      </c>
      <c r="H879" s="9">
        <v>400000</v>
      </c>
      <c r="I879" s="10">
        <v>1</v>
      </c>
      <c r="J879" s="9">
        <v>400000</v>
      </c>
      <c r="K879" s="9">
        <v>43324.85924645725</v>
      </c>
      <c r="L879" s="10">
        <v>6</v>
      </c>
      <c r="M879" s="10">
        <v>0</v>
      </c>
      <c r="N879" s="9">
        <v>0</v>
      </c>
      <c r="O879" s="9">
        <f t="shared" si="6"/>
        <v>10000</v>
      </c>
      <c r="P879" s="9">
        <f t="shared" si="7"/>
        <v>8000</v>
      </c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spans="1:42" ht="13.2" x14ac:dyDescent="0.25">
      <c r="A880" s="3" t="s">
        <v>492</v>
      </c>
      <c r="B880" s="7">
        <v>44562</v>
      </c>
      <c r="C880" s="3" t="s">
        <v>36</v>
      </c>
      <c r="D880" s="8">
        <v>64.292929555608993</v>
      </c>
      <c r="E880" s="8">
        <v>255.00702051311771</v>
      </c>
      <c r="F880" s="9">
        <v>130428.89573973474</v>
      </c>
      <c r="G880" s="10">
        <v>1</v>
      </c>
      <c r="H880" s="9">
        <v>130000</v>
      </c>
      <c r="I880" s="10">
        <v>0</v>
      </c>
      <c r="J880" s="9">
        <v>0</v>
      </c>
      <c r="K880" s="9">
        <v>0</v>
      </c>
      <c r="L880" s="10">
        <v>0</v>
      </c>
      <c r="M880" s="10">
        <v>0</v>
      </c>
      <c r="N880" s="9">
        <v>0</v>
      </c>
      <c r="O880" s="9">
        <f t="shared" si="6"/>
        <v>0</v>
      </c>
      <c r="P880" s="9">
        <f t="shared" si="7"/>
        <v>0</v>
      </c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spans="1:42" ht="13.2" x14ac:dyDescent="0.25">
      <c r="A881" s="3" t="s">
        <v>510</v>
      </c>
      <c r="B881" s="7">
        <v>44562</v>
      </c>
      <c r="C881" s="3" t="s">
        <v>36</v>
      </c>
      <c r="D881" s="8">
        <v>49.683504150588782</v>
      </c>
      <c r="E881" s="8">
        <v>211.6322689551364</v>
      </c>
      <c r="F881" s="9">
        <v>699507.10035083676</v>
      </c>
      <c r="G881" s="10">
        <v>0</v>
      </c>
      <c r="H881" s="9">
        <v>476000</v>
      </c>
      <c r="I881" s="10">
        <v>1</v>
      </c>
      <c r="J881" s="9">
        <v>476000</v>
      </c>
      <c r="K881" s="9">
        <v>97781.105338993613</v>
      </c>
      <c r="L881" s="10">
        <v>18</v>
      </c>
      <c r="M881" s="10">
        <v>0</v>
      </c>
      <c r="N881" s="9">
        <v>0</v>
      </c>
      <c r="O881" s="9">
        <f t="shared" si="6"/>
        <v>11900</v>
      </c>
      <c r="P881" s="9">
        <f t="shared" si="7"/>
        <v>9520</v>
      </c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spans="1:42" ht="13.2" x14ac:dyDescent="0.25">
      <c r="A882" s="3" t="s">
        <v>469</v>
      </c>
      <c r="B882" s="7">
        <v>44562</v>
      </c>
      <c r="C882" s="3" t="s">
        <v>36</v>
      </c>
      <c r="D882" s="8">
        <v>3</v>
      </c>
      <c r="E882" s="8">
        <v>161.62465271400089</v>
      </c>
      <c r="F882" s="9">
        <v>168676.34853897119</v>
      </c>
      <c r="G882" s="10">
        <v>0</v>
      </c>
      <c r="H882" s="9">
        <v>240000</v>
      </c>
      <c r="I882" s="10">
        <v>1</v>
      </c>
      <c r="J882" s="9">
        <v>240000</v>
      </c>
      <c r="K882" s="9">
        <v>11241.269128018725</v>
      </c>
      <c r="L882" s="10">
        <v>3</v>
      </c>
      <c r="M882" s="10">
        <v>0</v>
      </c>
      <c r="N882" s="9">
        <v>0</v>
      </c>
      <c r="O882" s="9">
        <f t="shared" si="6"/>
        <v>6000</v>
      </c>
      <c r="P882" s="9">
        <f t="shared" si="7"/>
        <v>4800</v>
      </c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spans="1:42" ht="13.2" x14ac:dyDescent="0.25">
      <c r="A883" s="3" t="s">
        <v>511</v>
      </c>
      <c r="B883" s="7">
        <v>44562</v>
      </c>
      <c r="C883" s="3" t="s">
        <v>36</v>
      </c>
      <c r="D883" s="8">
        <v>7.3232666952815926</v>
      </c>
      <c r="E883" s="8">
        <v>147.59730536047871</v>
      </c>
      <c r="F883" s="9">
        <v>578566.68970980938</v>
      </c>
      <c r="G883" s="10">
        <v>-1</v>
      </c>
      <c r="H883" s="9">
        <v>790000</v>
      </c>
      <c r="I883" s="10">
        <v>1</v>
      </c>
      <c r="J883" s="9">
        <v>790000</v>
      </c>
      <c r="K883" s="9">
        <v>78628.710168223726</v>
      </c>
      <c r="L883" s="10">
        <v>6</v>
      </c>
      <c r="M883" s="10">
        <v>0</v>
      </c>
      <c r="N883" s="9">
        <v>0</v>
      </c>
      <c r="O883" s="9">
        <f t="shared" si="6"/>
        <v>19750</v>
      </c>
      <c r="P883" s="9">
        <f t="shared" si="7"/>
        <v>15800</v>
      </c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spans="1:42" ht="13.2" x14ac:dyDescent="0.25">
      <c r="A884" s="3" t="s">
        <v>512</v>
      </c>
      <c r="B884" s="7">
        <v>44562</v>
      </c>
      <c r="C884" s="3" t="s">
        <v>36</v>
      </c>
      <c r="D884" s="8">
        <v>3</v>
      </c>
      <c r="E884" s="8">
        <v>112.72439948799988</v>
      </c>
      <c r="F884" s="9">
        <v>22732.562468510685</v>
      </c>
      <c r="G884" s="10">
        <v>0</v>
      </c>
      <c r="H884" s="9">
        <v>40000</v>
      </c>
      <c r="I884" s="10">
        <v>0</v>
      </c>
      <c r="J884" s="9">
        <v>0</v>
      </c>
      <c r="K884" s="9">
        <v>0</v>
      </c>
      <c r="L884" s="10">
        <v>0</v>
      </c>
      <c r="M884" s="10">
        <v>0</v>
      </c>
      <c r="N884" s="9">
        <v>0</v>
      </c>
      <c r="O884" s="9">
        <f t="shared" si="6"/>
        <v>0</v>
      </c>
      <c r="P884" s="9">
        <f t="shared" si="7"/>
        <v>0</v>
      </c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spans="1:42" ht="13.2" x14ac:dyDescent="0.25">
      <c r="A885" s="3" t="s">
        <v>468</v>
      </c>
      <c r="B885" s="7">
        <v>44562</v>
      </c>
      <c r="C885" s="3" t="s">
        <v>36</v>
      </c>
      <c r="D885" s="8">
        <v>3</v>
      </c>
      <c r="E885" s="8">
        <v>275.72846549256508</v>
      </c>
      <c r="F885" s="9">
        <v>431868.45415922097</v>
      </c>
      <c r="G885" s="10">
        <v>0</v>
      </c>
      <c r="H885" s="9">
        <v>350000</v>
      </c>
      <c r="I885" s="10">
        <v>1</v>
      </c>
      <c r="J885" s="9">
        <v>350000</v>
      </c>
      <c r="K885" s="9">
        <v>39110.825910739375</v>
      </c>
      <c r="L885" s="10">
        <v>6</v>
      </c>
      <c r="M885" s="10">
        <v>0</v>
      </c>
      <c r="N885" s="9">
        <v>0</v>
      </c>
      <c r="O885" s="9">
        <f t="shared" si="6"/>
        <v>8750</v>
      </c>
      <c r="P885" s="9">
        <f t="shared" si="7"/>
        <v>7000</v>
      </c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spans="1:42" ht="13.2" x14ac:dyDescent="0.25">
      <c r="A886" s="3" t="s">
        <v>219</v>
      </c>
      <c r="B886" s="7">
        <v>44562</v>
      </c>
      <c r="C886" s="3" t="s">
        <v>63</v>
      </c>
      <c r="D886" s="8">
        <v>50.294880731820903</v>
      </c>
      <c r="E886" s="8">
        <v>60</v>
      </c>
      <c r="F886" s="9">
        <v>55073.578401898572</v>
      </c>
      <c r="G886" s="10">
        <v>1</v>
      </c>
      <c r="H886" s="9">
        <v>70000</v>
      </c>
      <c r="I886" s="10">
        <v>0</v>
      </c>
      <c r="J886" s="9">
        <v>0</v>
      </c>
      <c r="K886" s="9">
        <v>0</v>
      </c>
      <c r="L886" s="10">
        <v>0</v>
      </c>
      <c r="M886" s="10">
        <v>0</v>
      </c>
      <c r="N886" s="9">
        <v>0</v>
      </c>
      <c r="O886" s="9">
        <f t="shared" si="6"/>
        <v>0</v>
      </c>
      <c r="P886" s="9">
        <f t="shared" si="7"/>
        <v>0</v>
      </c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spans="1:42" ht="13.2" x14ac:dyDescent="0.25">
      <c r="A887" s="3" t="s">
        <v>513</v>
      </c>
      <c r="B887" s="7">
        <v>44562</v>
      </c>
      <c r="C887" s="3" t="s">
        <v>36</v>
      </c>
      <c r="D887" s="8">
        <v>16.883432560910798</v>
      </c>
      <c r="E887" s="8">
        <v>472.63019075989797</v>
      </c>
      <c r="F887" s="9">
        <v>73619.002774567925</v>
      </c>
      <c r="G887" s="10">
        <v>-1</v>
      </c>
      <c r="H887" s="9">
        <v>50000</v>
      </c>
      <c r="I887" s="10">
        <v>1</v>
      </c>
      <c r="J887" s="9">
        <v>50000</v>
      </c>
      <c r="K887" s="9">
        <v>1553.2193036326178</v>
      </c>
      <c r="L887" s="10">
        <v>4</v>
      </c>
      <c r="M887" s="10">
        <v>0</v>
      </c>
      <c r="N887" s="9">
        <v>0</v>
      </c>
      <c r="O887" s="9">
        <f t="shared" si="6"/>
        <v>1250</v>
      </c>
      <c r="P887" s="9">
        <f t="shared" si="7"/>
        <v>1000</v>
      </c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spans="1:42" ht="13.2" x14ac:dyDescent="0.25">
      <c r="A888" s="3" t="s">
        <v>514</v>
      </c>
      <c r="B888" s="7">
        <v>44562</v>
      </c>
      <c r="C888" s="3" t="s">
        <v>36</v>
      </c>
      <c r="D888" s="8">
        <v>3</v>
      </c>
      <c r="E888" s="8">
        <v>60</v>
      </c>
      <c r="F888" s="9">
        <v>11108.975467503304</v>
      </c>
      <c r="G888" s="10">
        <v>0</v>
      </c>
      <c r="H888" s="9">
        <v>20000</v>
      </c>
      <c r="I888" s="10">
        <v>0</v>
      </c>
      <c r="J888" s="9">
        <v>0</v>
      </c>
      <c r="K888" s="9">
        <v>0</v>
      </c>
      <c r="L888" s="10">
        <v>0</v>
      </c>
      <c r="M888" s="10">
        <v>0</v>
      </c>
      <c r="N888" s="9">
        <v>0</v>
      </c>
      <c r="O888" s="9">
        <f t="shared" si="6"/>
        <v>0</v>
      </c>
      <c r="P888" s="9">
        <f t="shared" si="7"/>
        <v>0</v>
      </c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spans="1:42" ht="13.2" x14ac:dyDescent="0.25">
      <c r="A889" s="3" t="s">
        <v>459</v>
      </c>
      <c r="B889" s="7">
        <v>44562</v>
      </c>
      <c r="C889" s="3" t="s">
        <v>36</v>
      </c>
      <c r="D889" s="8">
        <v>56.446890219713104</v>
      </c>
      <c r="E889" s="8">
        <v>232.5909542087939</v>
      </c>
      <c r="F889" s="9">
        <v>276937.34155949811</v>
      </c>
      <c r="G889" s="10">
        <v>-1</v>
      </c>
      <c r="H889" s="9">
        <v>180000</v>
      </c>
      <c r="I889" s="10">
        <v>1</v>
      </c>
      <c r="J889" s="9">
        <v>180000</v>
      </c>
      <c r="K889" s="9">
        <v>18661.99178317616</v>
      </c>
      <c r="L889" s="10">
        <v>8</v>
      </c>
      <c r="M889" s="10">
        <v>0</v>
      </c>
      <c r="N889" s="9">
        <v>0</v>
      </c>
      <c r="O889" s="9">
        <f t="shared" si="6"/>
        <v>4500</v>
      </c>
      <c r="P889" s="9">
        <f t="shared" si="7"/>
        <v>3600</v>
      </c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spans="1:42" ht="13.2" x14ac:dyDescent="0.25">
      <c r="A890" s="3" t="s">
        <v>490</v>
      </c>
      <c r="B890" s="7">
        <v>44562</v>
      </c>
      <c r="C890" s="3" t="s">
        <v>36</v>
      </c>
      <c r="D890" s="8">
        <v>55.124527849742265</v>
      </c>
      <c r="E890" s="8">
        <v>232.29630804191555</v>
      </c>
      <c r="F890" s="9">
        <v>31022.036310668751</v>
      </c>
      <c r="G890" s="10">
        <v>-1</v>
      </c>
      <c r="H890" s="9">
        <v>30000</v>
      </c>
      <c r="I890" s="10">
        <v>1</v>
      </c>
      <c r="J890" s="9">
        <v>30000</v>
      </c>
      <c r="K890" s="9">
        <v>1813.1798805687695</v>
      </c>
      <c r="L890" s="10">
        <v>4</v>
      </c>
      <c r="M890" s="10">
        <v>0</v>
      </c>
      <c r="N890" s="9">
        <v>0</v>
      </c>
      <c r="O890" s="9">
        <f t="shared" si="6"/>
        <v>750</v>
      </c>
      <c r="P890" s="9">
        <f t="shared" si="7"/>
        <v>600</v>
      </c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spans="1:42" ht="13.2" x14ac:dyDescent="0.25">
      <c r="A891" s="3" t="s">
        <v>515</v>
      </c>
      <c r="B891" s="7">
        <v>44562</v>
      </c>
      <c r="C891" s="3" t="s">
        <v>36</v>
      </c>
      <c r="D891" s="8">
        <v>73.289783709685139</v>
      </c>
      <c r="E891" s="8">
        <v>60</v>
      </c>
      <c r="F891" s="9">
        <v>244428.06977456258</v>
      </c>
      <c r="G891" s="10">
        <v>0</v>
      </c>
      <c r="H891" s="9">
        <v>410000</v>
      </c>
      <c r="I891" s="10">
        <v>0</v>
      </c>
      <c r="J891" s="9">
        <v>0</v>
      </c>
      <c r="K891" s="9">
        <v>0</v>
      </c>
      <c r="L891" s="10">
        <v>0</v>
      </c>
      <c r="M891" s="10">
        <v>0</v>
      </c>
      <c r="N891" s="9">
        <v>0</v>
      </c>
      <c r="O891" s="9">
        <f t="shared" si="6"/>
        <v>0</v>
      </c>
      <c r="P891" s="9">
        <f t="shared" si="7"/>
        <v>0</v>
      </c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spans="1:42" ht="13.2" x14ac:dyDescent="0.25">
      <c r="A892" s="3" t="s">
        <v>345</v>
      </c>
      <c r="B892" s="7">
        <v>44562</v>
      </c>
      <c r="C892" s="3" t="s">
        <v>36</v>
      </c>
      <c r="D892" s="8">
        <v>3</v>
      </c>
      <c r="E892" s="8">
        <v>330.79466862178413</v>
      </c>
      <c r="F892" s="9">
        <v>633472.29175930633</v>
      </c>
      <c r="G892" s="10">
        <v>-1</v>
      </c>
      <c r="H892" s="9">
        <v>430000</v>
      </c>
      <c r="I892" s="10">
        <v>0</v>
      </c>
      <c r="J892" s="9">
        <v>0</v>
      </c>
      <c r="K892" s="9">
        <v>0</v>
      </c>
      <c r="L892" s="10">
        <v>0</v>
      </c>
      <c r="M892" s="10">
        <v>0</v>
      </c>
      <c r="N892" s="9">
        <v>0</v>
      </c>
      <c r="O892" s="9">
        <f t="shared" si="6"/>
        <v>0</v>
      </c>
      <c r="P892" s="9">
        <f t="shared" si="7"/>
        <v>0</v>
      </c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spans="1:42" ht="13.2" x14ac:dyDescent="0.25">
      <c r="A893" s="3" t="s">
        <v>132</v>
      </c>
      <c r="B893" s="7">
        <v>44593</v>
      </c>
      <c r="C893" s="3" t="s">
        <v>63</v>
      </c>
      <c r="D893" s="8">
        <v>34.336730214196777</v>
      </c>
      <c r="E893" s="8">
        <v>122.08357216613314</v>
      </c>
      <c r="F893" s="9">
        <v>80379.841436467759</v>
      </c>
      <c r="G893" s="10">
        <v>0</v>
      </c>
      <c r="H893" s="9">
        <v>130000</v>
      </c>
      <c r="I893" s="10">
        <v>1</v>
      </c>
      <c r="J893" s="9">
        <v>130000</v>
      </c>
      <c r="K893" s="9">
        <v>17151.138222849659</v>
      </c>
      <c r="L893" s="10">
        <v>9</v>
      </c>
      <c r="M893" s="10">
        <v>0</v>
      </c>
      <c r="N893" s="9">
        <v>0</v>
      </c>
      <c r="O893" s="9">
        <f t="shared" si="6"/>
        <v>3250</v>
      </c>
      <c r="P893" s="9">
        <f t="shared" si="7"/>
        <v>2600</v>
      </c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spans="1:42" ht="13.2" x14ac:dyDescent="0.25">
      <c r="A894" s="3" t="s">
        <v>516</v>
      </c>
      <c r="B894" s="7">
        <v>44593</v>
      </c>
      <c r="C894" s="3" t="s">
        <v>36</v>
      </c>
      <c r="D894" s="8">
        <v>3</v>
      </c>
      <c r="E894" s="8">
        <v>151.28880902898982</v>
      </c>
      <c r="F894" s="9">
        <v>605.28941772123846</v>
      </c>
      <c r="G894" s="10">
        <v>0</v>
      </c>
      <c r="H894" s="9">
        <v>833.33333333333337</v>
      </c>
      <c r="I894" s="10">
        <v>1</v>
      </c>
      <c r="J894" s="9">
        <v>833.33333333333337</v>
      </c>
      <c r="K894" s="9">
        <v>45.263921944579167</v>
      </c>
      <c r="L894" s="10">
        <v>4</v>
      </c>
      <c r="M894" s="10">
        <v>0</v>
      </c>
      <c r="N894" s="9">
        <v>0</v>
      </c>
      <c r="O894" s="9">
        <f t="shared" si="6"/>
        <v>20.833333333333336</v>
      </c>
      <c r="P894" s="9">
        <f t="shared" si="7"/>
        <v>16.666666666666668</v>
      </c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spans="1:42" ht="13.2" x14ac:dyDescent="0.25">
      <c r="A895" s="3" t="s">
        <v>370</v>
      </c>
      <c r="B895" s="7">
        <v>44593</v>
      </c>
      <c r="C895" s="3" t="s">
        <v>36</v>
      </c>
      <c r="D895" s="8">
        <v>3</v>
      </c>
      <c r="E895" s="8">
        <v>60</v>
      </c>
      <c r="F895" s="9">
        <v>17784.053057937923</v>
      </c>
      <c r="G895" s="10">
        <v>1</v>
      </c>
      <c r="H895" s="9">
        <v>30000</v>
      </c>
      <c r="I895" s="10">
        <v>0</v>
      </c>
      <c r="J895" s="9">
        <v>0</v>
      </c>
      <c r="K895" s="9">
        <v>0</v>
      </c>
      <c r="L895" s="10">
        <v>0</v>
      </c>
      <c r="M895" s="10">
        <v>0</v>
      </c>
      <c r="N895" s="9">
        <v>0</v>
      </c>
      <c r="O895" s="9">
        <f t="shared" si="6"/>
        <v>0</v>
      </c>
      <c r="P895" s="9">
        <f t="shared" si="7"/>
        <v>0</v>
      </c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spans="1:42" ht="13.2" x14ac:dyDescent="0.25">
      <c r="A896" s="3" t="s">
        <v>517</v>
      </c>
      <c r="B896" s="7">
        <v>44593</v>
      </c>
      <c r="C896" s="3" t="s">
        <v>63</v>
      </c>
      <c r="D896" s="8">
        <v>57.95970590681695</v>
      </c>
      <c r="E896" s="8">
        <v>212.82408379198037</v>
      </c>
      <c r="F896" s="9">
        <v>521174.93747871247</v>
      </c>
      <c r="G896" s="10">
        <v>-1</v>
      </c>
      <c r="H896" s="9">
        <v>340000</v>
      </c>
      <c r="I896" s="10">
        <v>1</v>
      </c>
      <c r="J896" s="9">
        <v>340000</v>
      </c>
      <c r="K896" s="9">
        <v>57453.218961266539</v>
      </c>
      <c r="L896" s="10">
        <v>12</v>
      </c>
      <c r="M896" s="10">
        <v>0</v>
      </c>
      <c r="N896" s="9">
        <v>0</v>
      </c>
      <c r="O896" s="9">
        <f t="shared" si="6"/>
        <v>8500</v>
      </c>
      <c r="P896" s="9">
        <f t="shared" si="7"/>
        <v>6800</v>
      </c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spans="1:42" ht="13.2" x14ac:dyDescent="0.25">
      <c r="A897" s="3" t="s">
        <v>518</v>
      </c>
      <c r="B897" s="7">
        <v>44593</v>
      </c>
      <c r="C897" s="3" t="s">
        <v>36</v>
      </c>
      <c r="D897" s="8">
        <v>3</v>
      </c>
      <c r="E897" s="8">
        <v>339.19031027332312</v>
      </c>
      <c r="F897" s="9">
        <v>82122.842487934351</v>
      </c>
      <c r="G897" s="10">
        <v>0</v>
      </c>
      <c r="H897" s="9">
        <v>110000</v>
      </c>
      <c r="I897" s="10">
        <v>1</v>
      </c>
      <c r="J897" s="9">
        <v>110000</v>
      </c>
      <c r="K897" s="9">
        <v>4689.6050011622883</v>
      </c>
      <c r="L897" s="10">
        <v>6</v>
      </c>
      <c r="M897" s="10">
        <v>0</v>
      </c>
      <c r="N897" s="9">
        <v>0</v>
      </c>
      <c r="O897" s="9">
        <f t="shared" si="6"/>
        <v>2750</v>
      </c>
      <c r="P897" s="9">
        <f t="shared" si="7"/>
        <v>2200</v>
      </c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spans="1:42" ht="13.2" x14ac:dyDescent="0.25">
      <c r="A898" s="3" t="s">
        <v>519</v>
      </c>
      <c r="B898" s="7">
        <v>44593</v>
      </c>
      <c r="C898" s="3" t="s">
        <v>36</v>
      </c>
      <c r="D898" s="8">
        <v>53.42227287427923</v>
      </c>
      <c r="E898" s="8">
        <v>119.19475950220149</v>
      </c>
      <c r="F898" s="9">
        <v>802545.48517728935</v>
      </c>
      <c r="G898" s="10">
        <v>0</v>
      </c>
      <c r="H898" s="9">
        <v>800000</v>
      </c>
      <c r="I898" s="10">
        <v>1</v>
      </c>
      <c r="J898" s="9">
        <v>800000</v>
      </c>
      <c r="K898" s="9">
        <v>18951.531627292861</v>
      </c>
      <c r="L898" s="10">
        <v>4</v>
      </c>
      <c r="M898" s="10">
        <v>0</v>
      </c>
      <c r="N898" s="9">
        <v>0</v>
      </c>
      <c r="O898" s="9">
        <f t="shared" si="6"/>
        <v>20000</v>
      </c>
      <c r="P898" s="9">
        <f t="shared" si="7"/>
        <v>16000</v>
      </c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spans="1:42" ht="13.2" x14ac:dyDescent="0.25">
      <c r="A899" s="3" t="s">
        <v>520</v>
      </c>
      <c r="B899" s="7">
        <v>44593</v>
      </c>
      <c r="C899" s="3" t="s">
        <v>36</v>
      </c>
      <c r="D899" s="8">
        <v>547.46263858043449</v>
      </c>
      <c r="E899" s="8">
        <v>60</v>
      </c>
      <c r="F899" s="9">
        <v>86610.918338372663</v>
      </c>
      <c r="G899" s="10">
        <v>-1</v>
      </c>
      <c r="H899" s="9">
        <v>80000</v>
      </c>
      <c r="I899" s="10">
        <v>1</v>
      </c>
      <c r="J899" s="9">
        <v>80000</v>
      </c>
      <c r="K899" s="9">
        <v>3469.6032498871587</v>
      </c>
      <c r="L899" s="10">
        <v>5</v>
      </c>
      <c r="M899" s="10">
        <v>0</v>
      </c>
      <c r="N899" s="9">
        <v>0</v>
      </c>
      <c r="O899" s="9">
        <f t="shared" si="6"/>
        <v>2000</v>
      </c>
      <c r="P899" s="9">
        <f t="shared" si="7"/>
        <v>1600</v>
      </c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spans="1:42" ht="13.2" x14ac:dyDescent="0.25">
      <c r="A900" s="3" t="s">
        <v>521</v>
      </c>
      <c r="B900" s="7">
        <v>44593</v>
      </c>
      <c r="C900" s="3" t="s">
        <v>63</v>
      </c>
      <c r="D900" s="8">
        <v>16.947141469064526</v>
      </c>
      <c r="E900" s="8">
        <v>60</v>
      </c>
      <c r="F900" s="9">
        <v>138424.28959551887</v>
      </c>
      <c r="G900" s="10">
        <v>1</v>
      </c>
      <c r="H900" s="9">
        <v>260000</v>
      </c>
      <c r="I900" s="10">
        <v>1</v>
      </c>
      <c r="J900" s="9">
        <v>260000</v>
      </c>
      <c r="K900" s="9">
        <v>31952.572221205508</v>
      </c>
      <c r="L900" s="10">
        <v>9</v>
      </c>
      <c r="M900" s="10">
        <v>0</v>
      </c>
      <c r="N900" s="9">
        <v>0</v>
      </c>
      <c r="O900" s="9">
        <f t="shared" si="6"/>
        <v>6500</v>
      </c>
      <c r="P900" s="9">
        <f t="shared" si="7"/>
        <v>5200</v>
      </c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spans="1:42" ht="13.2" x14ac:dyDescent="0.25">
      <c r="A901" s="3" t="s">
        <v>381</v>
      </c>
      <c r="B901" s="7">
        <v>44593</v>
      </c>
      <c r="C901" s="3" t="s">
        <v>36</v>
      </c>
      <c r="D901" s="8">
        <v>11.262531479893426</v>
      </c>
      <c r="E901" s="8">
        <v>129.63710027599404</v>
      </c>
      <c r="F901" s="9">
        <v>23130.149990589514</v>
      </c>
      <c r="G901" s="10">
        <v>0</v>
      </c>
      <c r="H901" s="9">
        <v>30000</v>
      </c>
      <c r="I901" s="10">
        <v>1</v>
      </c>
      <c r="J901" s="9">
        <v>30000</v>
      </c>
      <c r="K901" s="9">
        <v>2471.1022802602097</v>
      </c>
      <c r="L901" s="10">
        <v>6</v>
      </c>
      <c r="M901" s="10">
        <v>0</v>
      </c>
      <c r="N901" s="9">
        <v>0</v>
      </c>
      <c r="O901" s="9">
        <f t="shared" si="6"/>
        <v>750</v>
      </c>
      <c r="P901" s="9">
        <f t="shared" si="7"/>
        <v>600</v>
      </c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spans="1:42" ht="13.2" x14ac:dyDescent="0.25">
      <c r="A902" s="3" t="s">
        <v>262</v>
      </c>
      <c r="B902" s="7">
        <v>44593</v>
      </c>
      <c r="C902" s="3" t="s">
        <v>36</v>
      </c>
      <c r="D902" s="8">
        <v>163.41396129186236</v>
      </c>
      <c r="E902" s="8">
        <v>266.45250646412467</v>
      </c>
      <c r="F902" s="9">
        <v>45002.460484411284</v>
      </c>
      <c r="G902" s="10">
        <v>-1</v>
      </c>
      <c r="H902" s="9">
        <v>30000</v>
      </c>
      <c r="I902" s="10">
        <v>1</v>
      </c>
      <c r="J902" s="9">
        <v>30000</v>
      </c>
      <c r="K902" s="9">
        <v>2716.9559833865387</v>
      </c>
      <c r="L902" s="10">
        <v>5</v>
      </c>
      <c r="M902" s="10">
        <v>0</v>
      </c>
      <c r="N902" s="9">
        <v>0</v>
      </c>
      <c r="O902" s="9">
        <f t="shared" si="6"/>
        <v>750</v>
      </c>
      <c r="P902" s="9">
        <f t="shared" si="7"/>
        <v>600</v>
      </c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spans="1:42" ht="13.2" x14ac:dyDescent="0.25">
      <c r="A903" s="3" t="s">
        <v>491</v>
      </c>
      <c r="B903" s="7">
        <v>44593</v>
      </c>
      <c r="C903" s="3" t="s">
        <v>36</v>
      </c>
      <c r="D903" s="8">
        <v>104.7566343890458</v>
      </c>
      <c r="E903" s="8">
        <v>158.49896084379537</v>
      </c>
      <c r="F903" s="9">
        <v>23750.301550284214</v>
      </c>
      <c r="G903" s="10">
        <v>0</v>
      </c>
      <c r="H903" s="9">
        <v>30000</v>
      </c>
      <c r="I903" s="10">
        <v>0</v>
      </c>
      <c r="J903" s="9">
        <v>0</v>
      </c>
      <c r="K903" s="9">
        <v>0</v>
      </c>
      <c r="L903" s="10">
        <v>0</v>
      </c>
      <c r="M903" s="10">
        <v>0</v>
      </c>
      <c r="N903" s="9">
        <v>0</v>
      </c>
      <c r="O903" s="9">
        <f t="shared" si="6"/>
        <v>0</v>
      </c>
      <c r="P903" s="9">
        <f t="shared" si="7"/>
        <v>0</v>
      </c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spans="1:42" ht="13.2" x14ac:dyDescent="0.25">
      <c r="A904" s="3" t="s">
        <v>522</v>
      </c>
      <c r="B904" s="7">
        <v>44593</v>
      </c>
      <c r="C904" s="3" t="s">
        <v>36</v>
      </c>
      <c r="D904" s="8">
        <v>19.886512696196526</v>
      </c>
      <c r="E904" s="8">
        <v>288.62308189998822</v>
      </c>
      <c r="F904" s="9">
        <v>2684.7269989171054</v>
      </c>
      <c r="G904" s="10">
        <v>1</v>
      </c>
      <c r="H904" s="9">
        <v>1818.1818181818182</v>
      </c>
      <c r="I904" s="10">
        <v>1</v>
      </c>
      <c r="J904" s="9">
        <v>1818.1818181818182</v>
      </c>
      <c r="K904" s="9">
        <v>139.95442995277728</v>
      </c>
      <c r="L904" s="10">
        <v>4</v>
      </c>
      <c r="M904" s="10">
        <v>0</v>
      </c>
      <c r="N904" s="9">
        <v>0</v>
      </c>
      <c r="O904" s="9">
        <f t="shared" si="6"/>
        <v>45.45454545454546</v>
      </c>
      <c r="P904" s="9">
        <f t="shared" si="7"/>
        <v>36.363636363636367</v>
      </c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spans="1:42" ht="13.2" x14ac:dyDescent="0.25">
      <c r="A905" s="3" t="s">
        <v>175</v>
      </c>
      <c r="B905" s="7">
        <v>44593</v>
      </c>
      <c r="C905" s="3" t="s">
        <v>36</v>
      </c>
      <c r="D905" s="8">
        <v>48.010228944087551</v>
      </c>
      <c r="E905" s="8">
        <v>149.34946982868814</v>
      </c>
      <c r="F905" s="9">
        <v>175848.45401911449</v>
      </c>
      <c r="G905" s="10">
        <v>-1</v>
      </c>
      <c r="H905" s="9">
        <v>120000</v>
      </c>
      <c r="I905" s="10">
        <v>0</v>
      </c>
      <c r="J905" s="9">
        <v>0</v>
      </c>
      <c r="K905" s="9">
        <v>0</v>
      </c>
      <c r="L905" s="10">
        <v>0</v>
      </c>
      <c r="M905" s="10">
        <v>0</v>
      </c>
      <c r="N905" s="9">
        <v>0</v>
      </c>
      <c r="O905" s="9">
        <f t="shared" si="6"/>
        <v>0</v>
      </c>
      <c r="P905" s="9">
        <f t="shared" si="7"/>
        <v>0</v>
      </c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spans="1:42" ht="13.2" x14ac:dyDescent="0.25">
      <c r="A906" s="3" t="s">
        <v>203</v>
      </c>
      <c r="B906" s="7">
        <v>44593</v>
      </c>
      <c r="C906" s="3" t="s">
        <v>36</v>
      </c>
      <c r="D906" s="8">
        <v>3.2303896858392207</v>
      </c>
      <c r="E906" s="8">
        <v>60</v>
      </c>
      <c r="F906" s="9">
        <v>45181.037671237165</v>
      </c>
      <c r="G906" s="10">
        <v>-1</v>
      </c>
      <c r="H906" s="9">
        <v>80000</v>
      </c>
      <c r="I906" s="10">
        <v>0</v>
      </c>
      <c r="J906" s="9">
        <v>0</v>
      </c>
      <c r="K906" s="9">
        <v>0</v>
      </c>
      <c r="L906" s="10">
        <v>0</v>
      </c>
      <c r="M906" s="10">
        <v>0</v>
      </c>
      <c r="N906" s="9">
        <v>0</v>
      </c>
      <c r="O906" s="9">
        <f t="shared" si="6"/>
        <v>0</v>
      </c>
      <c r="P906" s="9">
        <f t="shared" si="7"/>
        <v>0</v>
      </c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spans="1:42" ht="13.2" x14ac:dyDescent="0.25">
      <c r="A907" s="3" t="s">
        <v>523</v>
      </c>
      <c r="B907" s="7">
        <v>44593</v>
      </c>
      <c r="C907" s="3" t="s">
        <v>36</v>
      </c>
      <c r="D907" s="8">
        <v>51.806038158656335</v>
      </c>
      <c r="E907" s="8">
        <v>191.92549507565644</v>
      </c>
      <c r="F907" s="9">
        <v>231671.84418306404</v>
      </c>
      <c r="G907" s="10">
        <v>0</v>
      </c>
      <c r="H907" s="9">
        <v>380000</v>
      </c>
      <c r="I907" s="10">
        <v>1</v>
      </c>
      <c r="J907" s="9">
        <v>380000</v>
      </c>
      <c r="K907" s="9">
        <v>9639.5735459084808</v>
      </c>
      <c r="L907" s="10">
        <v>6</v>
      </c>
      <c r="M907" s="10">
        <v>0</v>
      </c>
      <c r="N907" s="9">
        <v>0</v>
      </c>
      <c r="O907" s="9">
        <f t="shared" si="6"/>
        <v>9500</v>
      </c>
      <c r="P907" s="9">
        <f t="shared" si="7"/>
        <v>7600</v>
      </c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spans="1:42" ht="13.2" x14ac:dyDescent="0.25">
      <c r="A908" s="3" t="s">
        <v>497</v>
      </c>
      <c r="B908" s="7">
        <v>44593</v>
      </c>
      <c r="C908" s="3" t="s">
        <v>36</v>
      </c>
      <c r="D908" s="8">
        <v>19.397256408515346</v>
      </c>
      <c r="E908" s="8">
        <v>60</v>
      </c>
      <c r="F908" s="9">
        <v>48667.171533946661</v>
      </c>
      <c r="G908" s="10">
        <v>1</v>
      </c>
      <c r="H908" s="9">
        <v>80000</v>
      </c>
      <c r="I908" s="10">
        <v>1</v>
      </c>
      <c r="J908" s="9">
        <v>80000</v>
      </c>
      <c r="K908" s="9">
        <v>4388.9868994713552</v>
      </c>
      <c r="L908" s="10">
        <v>6</v>
      </c>
      <c r="M908" s="10">
        <v>0</v>
      </c>
      <c r="N908" s="9">
        <v>0</v>
      </c>
      <c r="O908" s="9">
        <f t="shared" si="6"/>
        <v>2000</v>
      </c>
      <c r="P908" s="9">
        <f t="shared" si="7"/>
        <v>1600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spans="1:42" ht="13.2" x14ac:dyDescent="0.25">
      <c r="A909" s="3" t="s">
        <v>416</v>
      </c>
      <c r="B909" s="7">
        <v>44593</v>
      </c>
      <c r="C909" s="3" t="s">
        <v>36</v>
      </c>
      <c r="D909" s="8">
        <v>114.18996503010911</v>
      </c>
      <c r="E909" s="8">
        <v>352.18034961660305</v>
      </c>
      <c r="F909" s="9">
        <v>15281.728071766853</v>
      </c>
      <c r="G909" s="10">
        <v>-1</v>
      </c>
      <c r="H909" s="9">
        <v>10000</v>
      </c>
      <c r="I909" s="10">
        <v>1</v>
      </c>
      <c r="J909" s="9">
        <v>10000</v>
      </c>
      <c r="K909" s="9">
        <v>689.05805046651665</v>
      </c>
      <c r="L909" s="10">
        <v>6</v>
      </c>
      <c r="M909" s="10">
        <v>0</v>
      </c>
      <c r="N909" s="9">
        <v>0</v>
      </c>
      <c r="O909" s="9">
        <f t="shared" si="6"/>
        <v>250</v>
      </c>
      <c r="P909" s="9">
        <f t="shared" si="7"/>
        <v>200</v>
      </c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spans="1:42" ht="13.2" x14ac:dyDescent="0.25">
      <c r="A910" s="3" t="s">
        <v>400</v>
      </c>
      <c r="B910" s="7">
        <v>44593</v>
      </c>
      <c r="C910" s="3" t="s">
        <v>36</v>
      </c>
      <c r="D910" s="8">
        <v>57.454039850602264</v>
      </c>
      <c r="E910" s="8">
        <v>60</v>
      </c>
      <c r="F910" s="9">
        <v>148739.15752120322</v>
      </c>
      <c r="G910" s="10">
        <v>-1</v>
      </c>
      <c r="H910" s="9">
        <v>230000</v>
      </c>
      <c r="I910" s="10">
        <v>0</v>
      </c>
      <c r="J910" s="9">
        <v>0</v>
      </c>
      <c r="K910" s="9">
        <v>0</v>
      </c>
      <c r="L910" s="10">
        <v>0</v>
      </c>
      <c r="M910" s="10">
        <v>0</v>
      </c>
      <c r="N910" s="9">
        <v>0</v>
      </c>
      <c r="O910" s="9">
        <f t="shared" si="6"/>
        <v>0</v>
      </c>
      <c r="P910" s="9">
        <f t="shared" si="7"/>
        <v>0</v>
      </c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spans="1:42" ht="13.2" x14ac:dyDescent="0.25">
      <c r="A911" s="3" t="s">
        <v>487</v>
      </c>
      <c r="B911" s="7">
        <v>44593</v>
      </c>
      <c r="C911" s="3" t="s">
        <v>36</v>
      </c>
      <c r="D911" s="8">
        <v>19.843720012241054</v>
      </c>
      <c r="E911" s="8">
        <v>99.739537546287067</v>
      </c>
      <c r="F911" s="9">
        <v>325202.54253308126</v>
      </c>
      <c r="G911" s="10">
        <v>-1</v>
      </c>
      <c r="H911" s="9">
        <v>630000</v>
      </c>
      <c r="I911" s="10">
        <v>1</v>
      </c>
      <c r="J911" s="9">
        <v>630000</v>
      </c>
      <c r="K911" s="9">
        <v>26663.659809733897</v>
      </c>
      <c r="L911" s="10">
        <v>12</v>
      </c>
      <c r="M911" s="10">
        <v>0</v>
      </c>
      <c r="N911" s="9">
        <v>0</v>
      </c>
      <c r="O911" s="9">
        <f t="shared" si="6"/>
        <v>15750</v>
      </c>
      <c r="P911" s="9">
        <f t="shared" si="7"/>
        <v>12600</v>
      </c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spans="1:42" ht="13.2" x14ac:dyDescent="0.25">
      <c r="A912" s="3" t="s">
        <v>473</v>
      </c>
      <c r="B912" s="7">
        <v>44593</v>
      </c>
      <c r="C912" s="3" t="s">
        <v>36</v>
      </c>
      <c r="D912" s="8">
        <v>22.021029417017804</v>
      </c>
      <c r="E912" s="8">
        <v>60</v>
      </c>
      <c r="F912" s="9">
        <v>12417.47824882223</v>
      </c>
      <c r="G912" s="10">
        <v>1</v>
      </c>
      <c r="H912" s="9">
        <v>20000</v>
      </c>
      <c r="I912" s="10">
        <v>1</v>
      </c>
      <c r="J912" s="9">
        <v>20000</v>
      </c>
      <c r="K912" s="9">
        <v>1300.8546813553592</v>
      </c>
      <c r="L912" s="10">
        <v>5</v>
      </c>
      <c r="M912" s="10">
        <v>0</v>
      </c>
      <c r="N912" s="9">
        <v>0</v>
      </c>
      <c r="O912" s="9">
        <f t="shared" si="6"/>
        <v>500</v>
      </c>
      <c r="P912" s="9">
        <f t="shared" si="7"/>
        <v>400</v>
      </c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spans="1:42" ht="13.2" x14ac:dyDescent="0.25">
      <c r="A913" s="3" t="s">
        <v>180</v>
      </c>
      <c r="B913" s="7">
        <v>44593</v>
      </c>
      <c r="C913" s="3" t="s">
        <v>36</v>
      </c>
      <c r="D913" s="8">
        <v>31.151645291864025</v>
      </c>
      <c r="E913" s="8">
        <v>114.20741630182147</v>
      </c>
      <c r="F913" s="9">
        <v>221864.02206970376</v>
      </c>
      <c r="G913" s="10">
        <v>0</v>
      </c>
      <c r="H913" s="9">
        <v>227000</v>
      </c>
      <c r="I913" s="10">
        <v>1</v>
      </c>
      <c r="J913" s="9">
        <v>227000</v>
      </c>
      <c r="K913" s="9">
        <v>23804.732262309913</v>
      </c>
      <c r="L913" s="10">
        <v>15</v>
      </c>
      <c r="M913" s="10">
        <v>0</v>
      </c>
      <c r="N913" s="9">
        <v>0</v>
      </c>
      <c r="O913" s="9">
        <f t="shared" si="6"/>
        <v>5675</v>
      </c>
      <c r="P913" s="9">
        <f t="shared" si="7"/>
        <v>4540</v>
      </c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spans="1:42" ht="13.2" x14ac:dyDescent="0.25">
      <c r="A914" s="3" t="s">
        <v>517</v>
      </c>
      <c r="B914" s="7">
        <v>44593</v>
      </c>
      <c r="C914" s="3" t="s">
        <v>63</v>
      </c>
      <c r="D914" s="8">
        <v>80.320701050843255</v>
      </c>
      <c r="E914" s="8">
        <v>60</v>
      </c>
      <c r="F914" s="9">
        <v>1325490.946870093</v>
      </c>
      <c r="G914" s="10">
        <v>1</v>
      </c>
      <c r="H914" s="9">
        <v>1510000</v>
      </c>
      <c r="I914" s="10">
        <v>1</v>
      </c>
      <c r="J914" s="9">
        <v>1510000</v>
      </c>
      <c r="K914" s="9">
        <v>284989.32268788799</v>
      </c>
      <c r="L914" s="10">
        <v>12</v>
      </c>
      <c r="M914" s="10">
        <v>1</v>
      </c>
      <c r="N914" s="9">
        <v>136789</v>
      </c>
      <c r="O914" s="9">
        <f t="shared" si="6"/>
        <v>37750</v>
      </c>
      <c r="P914" s="9">
        <f t="shared" si="7"/>
        <v>30200</v>
      </c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spans="1:42" ht="13.2" x14ac:dyDescent="0.25">
      <c r="A915" s="3" t="s">
        <v>524</v>
      </c>
      <c r="B915" s="7">
        <v>44593</v>
      </c>
      <c r="C915" s="3" t="s">
        <v>63</v>
      </c>
      <c r="D915" s="8">
        <v>96.445620878728477</v>
      </c>
      <c r="E915" s="8">
        <v>151.22970696833914</v>
      </c>
      <c r="F915" s="9">
        <v>1682814.8514236771</v>
      </c>
      <c r="G915" s="10">
        <v>1</v>
      </c>
      <c r="H915" s="9">
        <v>1180000</v>
      </c>
      <c r="I915" s="10">
        <v>1</v>
      </c>
      <c r="J915" s="9">
        <v>1180000</v>
      </c>
      <c r="K915" s="9">
        <v>78291.453560537062</v>
      </c>
      <c r="L915" s="10">
        <v>6</v>
      </c>
      <c r="M915" s="10">
        <v>0</v>
      </c>
      <c r="N915" s="9">
        <v>0</v>
      </c>
      <c r="O915" s="9">
        <f t="shared" si="6"/>
        <v>29500</v>
      </c>
      <c r="P915" s="9">
        <f t="shared" si="7"/>
        <v>23600</v>
      </c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spans="1:42" ht="13.2" x14ac:dyDescent="0.25">
      <c r="A916" s="3" t="s">
        <v>373</v>
      </c>
      <c r="B916" s="7">
        <v>44593</v>
      </c>
      <c r="C916" s="3" t="s">
        <v>36</v>
      </c>
      <c r="D916" s="8">
        <v>39.484912296108327</v>
      </c>
      <c r="E916" s="8">
        <v>191.47453123977328</v>
      </c>
      <c r="F916" s="9">
        <v>490901.30900617741</v>
      </c>
      <c r="G916" s="10">
        <v>0</v>
      </c>
      <c r="H916" s="9">
        <v>331000</v>
      </c>
      <c r="I916" s="10">
        <v>1</v>
      </c>
      <c r="J916" s="9">
        <v>331000</v>
      </c>
      <c r="K916" s="9">
        <v>31274.737154442635</v>
      </c>
      <c r="L916" s="10">
        <v>6</v>
      </c>
      <c r="M916" s="10">
        <v>0</v>
      </c>
      <c r="N916" s="9">
        <v>0</v>
      </c>
      <c r="O916" s="9">
        <f t="shared" si="6"/>
        <v>8275</v>
      </c>
      <c r="P916" s="9">
        <f t="shared" si="7"/>
        <v>6620</v>
      </c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spans="1:42" ht="13.2" x14ac:dyDescent="0.25">
      <c r="A917" s="3" t="s">
        <v>485</v>
      </c>
      <c r="B917" s="7">
        <v>44621</v>
      </c>
      <c r="C917" s="3" t="s">
        <v>36</v>
      </c>
      <c r="D917" s="8">
        <v>3</v>
      </c>
      <c r="E917" s="8">
        <v>81.687136473089765</v>
      </c>
      <c r="F917" s="9">
        <v>78992.994555900092</v>
      </c>
      <c r="G917" s="10">
        <v>-1</v>
      </c>
      <c r="H917" s="9">
        <v>120000</v>
      </c>
      <c r="I917" s="10">
        <v>0</v>
      </c>
      <c r="J917" s="9">
        <v>0</v>
      </c>
      <c r="K917" s="9">
        <v>0</v>
      </c>
      <c r="L917" s="10">
        <v>0</v>
      </c>
      <c r="M917" s="10">
        <v>0</v>
      </c>
      <c r="N917" s="9">
        <v>0</v>
      </c>
      <c r="O917" s="9">
        <f t="shared" si="6"/>
        <v>0</v>
      </c>
      <c r="P917" s="9">
        <f t="shared" si="7"/>
        <v>0</v>
      </c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spans="1:42" ht="13.2" x14ac:dyDescent="0.25">
      <c r="A918" s="3" t="s">
        <v>525</v>
      </c>
      <c r="B918" s="7">
        <v>44621</v>
      </c>
      <c r="C918" s="3" t="s">
        <v>39</v>
      </c>
      <c r="D918" s="8">
        <v>40.498151714642049</v>
      </c>
      <c r="E918" s="8">
        <v>185.70654517913292</v>
      </c>
      <c r="F918" s="9">
        <v>63759.945964096842</v>
      </c>
      <c r="G918" s="10">
        <v>-1</v>
      </c>
      <c r="H918" s="9">
        <v>80000</v>
      </c>
      <c r="I918" s="10">
        <v>1</v>
      </c>
      <c r="J918" s="9">
        <v>80000</v>
      </c>
      <c r="K918" s="9">
        <v>4310.7922774699682</v>
      </c>
      <c r="L918" s="10">
        <v>4</v>
      </c>
      <c r="M918" s="10">
        <v>0</v>
      </c>
      <c r="N918" s="9">
        <v>0</v>
      </c>
      <c r="O918" s="9">
        <f t="shared" si="6"/>
        <v>2000</v>
      </c>
      <c r="P918" s="9">
        <f t="shared" si="7"/>
        <v>1600</v>
      </c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spans="1:42" ht="13.2" x14ac:dyDescent="0.25">
      <c r="A919" s="3" t="s">
        <v>337</v>
      </c>
      <c r="B919" s="7">
        <v>44621</v>
      </c>
      <c r="C919" s="3" t="s">
        <v>63</v>
      </c>
      <c r="D919" s="8">
        <v>68.052094140341993</v>
      </c>
      <c r="E919" s="8">
        <v>60</v>
      </c>
      <c r="F919" s="9">
        <v>72609.889664926202</v>
      </c>
      <c r="G919" s="10">
        <v>1</v>
      </c>
      <c r="H919" s="9">
        <v>110000</v>
      </c>
      <c r="I919" s="10">
        <v>0</v>
      </c>
      <c r="J919" s="9">
        <v>0</v>
      </c>
      <c r="K919" s="9">
        <v>0</v>
      </c>
      <c r="L919" s="10">
        <v>0</v>
      </c>
      <c r="M919" s="10">
        <v>0</v>
      </c>
      <c r="N919" s="9">
        <v>0</v>
      </c>
      <c r="O919" s="9">
        <f t="shared" si="6"/>
        <v>0</v>
      </c>
      <c r="P919" s="9">
        <f t="shared" si="7"/>
        <v>0</v>
      </c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spans="1:42" ht="13.2" x14ac:dyDescent="0.25">
      <c r="A920" s="3" t="s">
        <v>490</v>
      </c>
      <c r="B920" s="7">
        <v>44621</v>
      </c>
      <c r="C920" s="3" t="s">
        <v>36</v>
      </c>
      <c r="D920" s="8">
        <v>74.647367865684245</v>
      </c>
      <c r="E920" s="8">
        <v>126.88954209228353</v>
      </c>
      <c r="F920" s="9">
        <v>58356.932368623588</v>
      </c>
      <c r="G920" s="10">
        <v>1</v>
      </c>
      <c r="H920" s="9">
        <v>40000</v>
      </c>
      <c r="I920" s="10">
        <v>0</v>
      </c>
      <c r="J920" s="9">
        <v>0</v>
      </c>
      <c r="K920" s="9">
        <v>0</v>
      </c>
      <c r="L920" s="10">
        <v>0</v>
      </c>
      <c r="M920" s="10">
        <v>0</v>
      </c>
      <c r="N920" s="9">
        <v>0</v>
      </c>
      <c r="O920" s="9">
        <f t="shared" si="6"/>
        <v>0</v>
      </c>
      <c r="P920" s="9">
        <f t="shared" si="7"/>
        <v>0</v>
      </c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spans="1:42" ht="13.2" x14ac:dyDescent="0.25">
      <c r="A921" s="3" t="s">
        <v>260</v>
      </c>
      <c r="B921" s="7">
        <v>44621</v>
      </c>
      <c r="C921" s="3" t="s">
        <v>36</v>
      </c>
      <c r="D921" s="8">
        <v>5.1123267298648223</v>
      </c>
      <c r="E921" s="8">
        <v>139.56488499077977</v>
      </c>
      <c r="F921" s="9">
        <v>189328.76291397455</v>
      </c>
      <c r="G921" s="10">
        <v>0</v>
      </c>
      <c r="H921" s="9">
        <v>230000</v>
      </c>
      <c r="I921" s="10">
        <v>1</v>
      </c>
      <c r="J921" s="9">
        <v>230000</v>
      </c>
      <c r="K921" s="9">
        <v>33086.030043020328</v>
      </c>
      <c r="L921" s="10">
        <v>9</v>
      </c>
      <c r="M921" s="10">
        <v>0</v>
      </c>
      <c r="N921" s="9">
        <v>0</v>
      </c>
      <c r="O921" s="9">
        <f t="shared" si="6"/>
        <v>5750</v>
      </c>
      <c r="P921" s="9">
        <f t="shared" si="7"/>
        <v>4600</v>
      </c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spans="1:42" ht="13.2" x14ac:dyDescent="0.25">
      <c r="A922" s="3" t="s">
        <v>526</v>
      </c>
      <c r="B922" s="7">
        <v>44621</v>
      </c>
      <c r="C922" s="3" t="s">
        <v>36</v>
      </c>
      <c r="D922" s="8">
        <v>17.841248985735245</v>
      </c>
      <c r="E922" s="8">
        <v>188.21806702215579</v>
      </c>
      <c r="F922" s="9">
        <v>186930.41108957346</v>
      </c>
      <c r="G922" s="10">
        <v>1</v>
      </c>
      <c r="H922" s="9">
        <v>230000</v>
      </c>
      <c r="I922" s="10">
        <v>0</v>
      </c>
      <c r="J922" s="9">
        <v>0</v>
      </c>
      <c r="K922" s="9">
        <v>0</v>
      </c>
      <c r="L922" s="10">
        <v>0</v>
      </c>
      <c r="M922" s="10">
        <v>0</v>
      </c>
      <c r="N922" s="9">
        <v>0</v>
      </c>
      <c r="O922" s="9">
        <f t="shared" si="6"/>
        <v>0</v>
      </c>
      <c r="P922" s="9">
        <f t="shared" si="7"/>
        <v>0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spans="1:42" ht="13.2" x14ac:dyDescent="0.25">
      <c r="A923" s="3" t="s">
        <v>527</v>
      </c>
      <c r="B923" s="7">
        <v>44621</v>
      </c>
      <c r="C923" s="3" t="s">
        <v>36</v>
      </c>
      <c r="D923" s="8">
        <v>3</v>
      </c>
      <c r="E923" s="8">
        <v>245.80474087335352</v>
      </c>
      <c r="F923" s="9">
        <v>43455.123079029574</v>
      </c>
      <c r="G923" s="10">
        <v>-1</v>
      </c>
      <c r="H923" s="9">
        <v>30000</v>
      </c>
      <c r="I923" s="10">
        <v>1</v>
      </c>
      <c r="J923" s="9">
        <v>30000</v>
      </c>
      <c r="K923" s="9">
        <v>390.38119492913756</v>
      </c>
      <c r="L923" s="10">
        <v>3</v>
      </c>
      <c r="M923" s="10">
        <v>0</v>
      </c>
      <c r="N923" s="9">
        <v>0</v>
      </c>
      <c r="O923" s="9">
        <f t="shared" si="6"/>
        <v>750</v>
      </c>
      <c r="P923" s="9">
        <f t="shared" si="7"/>
        <v>600</v>
      </c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spans="1:42" ht="13.2" x14ac:dyDescent="0.25">
      <c r="A924" s="3" t="s">
        <v>57</v>
      </c>
      <c r="B924" s="7">
        <v>44621</v>
      </c>
      <c r="C924" s="3" t="s">
        <v>36</v>
      </c>
      <c r="D924" s="8">
        <v>36.479973955702143</v>
      </c>
      <c r="E924" s="8">
        <v>60</v>
      </c>
      <c r="F924" s="9">
        <v>77011.089180298295</v>
      </c>
      <c r="G924" s="10">
        <v>0</v>
      </c>
      <c r="H924" s="9">
        <v>133333.33333333334</v>
      </c>
      <c r="I924" s="10">
        <v>0</v>
      </c>
      <c r="J924" s="9">
        <v>0</v>
      </c>
      <c r="K924" s="9">
        <v>0</v>
      </c>
      <c r="L924" s="10">
        <v>0</v>
      </c>
      <c r="M924" s="10">
        <v>0</v>
      </c>
      <c r="N924" s="9">
        <v>0</v>
      </c>
      <c r="O924" s="9">
        <f t="shared" si="6"/>
        <v>0</v>
      </c>
      <c r="P924" s="9">
        <f t="shared" si="7"/>
        <v>0</v>
      </c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spans="1:42" ht="13.2" x14ac:dyDescent="0.25">
      <c r="A925" s="3" t="s">
        <v>233</v>
      </c>
      <c r="B925" s="7">
        <v>44621</v>
      </c>
      <c r="C925" s="3" t="s">
        <v>36</v>
      </c>
      <c r="D925" s="8">
        <v>3</v>
      </c>
      <c r="E925" s="8">
        <v>228.77544221409451</v>
      </c>
      <c r="F925" s="9">
        <v>34615.042952871787</v>
      </c>
      <c r="G925" s="10">
        <v>1</v>
      </c>
      <c r="H925" s="9">
        <v>40000</v>
      </c>
      <c r="I925" s="10">
        <v>0</v>
      </c>
      <c r="J925" s="9">
        <v>0</v>
      </c>
      <c r="K925" s="9">
        <v>0</v>
      </c>
      <c r="L925" s="10">
        <v>0</v>
      </c>
      <c r="M925" s="10">
        <v>0</v>
      </c>
      <c r="N925" s="9">
        <v>0</v>
      </c>
      <c r="O925" s="9">
        <f t="shared" si="6"/>
        <v>0</v>
      </c>
      <c r="P925" s="9">
        <f t="shared" si="7"/>
        <v>0</v>
      </c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spans="1:42" ht="13.2" x14ac:dyDescent="0.25">
      <c r="A926" s="3" t="s">
        <v>120</v>
      </c>
      <c r="B926" s="7">
        <v>44621</v>
      </c>
      <c r="C926" s="3" t="s">
        <v>36</v>
      </c>
      <c r="D926" s="8">
        <v>3.8225076399852078</v>
      </c>
      <c r="E926" s="8">
        <v>111.41217254424063</v>
      </c>
      <c r="F926" s="9">
        <v>66096.400107388705</v>
      </c>
      <c r="G926" s="10">
        <v>-1</v>
      </c>
      <c r="H926" s="9">
        <v>80000</v>
      </c>
      <c r="I926" s="10">
        <v>0</v>
      </c>
      <c r="J926" s="9">
        <v>0</v>
      </c>
      <c r="K926" s="9">
        <v>0</v>
      </c>
      <c r="L926" s="10">
        <v>0</v>
      </c>
      <c r="M926" s="10">
        <v>0</v>
      </c>
      <c r="N926" s="9">
        <v>0</v>
      </c>
      <c r="O926" s="9">
        <f t="shared" si="6"/>
        <v>0</v>
      </c>
      <c r="P926" s="9">
        <f t="shared" si="7"/>
        <v>0</v>
      </c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spans="1:42" ht="13.2" x14ac:dyDescent="0.25">
      <c r="A927" s="3" t="s">
        <v>433</v>
      </c>
      <c r="B927" s="7">
        <v>44621</v>
      </c>
      <c r="C927" s="3" t="s">
        <v>36</v>
      </c>
      <c r="D927" s="8">
        <v>25.030786383630122</v>
      </c>
      <c r="E927" s="8">
        <v>360.98506677982482</v>
      </c>
      <c r="F927" s="9">
        <v>624704.841751436</v>
      </c>
      <c r="G927" s="10">
        <v>1</v>
      </c>
      <c r="H927" s="9">
        <v>523000</v>
      </c>
      <c r="I927" s="10">
        <v>1</v>
      </c>
      <c r="J927" s="9">
        <v>523000</v>
      </c>
      <c r="K927" s="9">
        <v>35596.858551130485</v>
      </c>
      <c r="L927" s="10">
        <v>6</v>
      </c>
      <c r="M927" s="10">
        <v>1</v>
      </c>
      <c r="N927" s="9">
        <v>345443</v>
      </c>
      <c r="O927" s="9">
        <f t="shared" si="6"/>
        <v>13075</v>
      </c>
      <c r="P927" s="9">
        <f t="shared" si="7"/>
        <v>10460</v>
      </c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spans="1:42" ht="13.2" x14ac:dyDescent="0.25">
      <c r="A928" s="3" t="s">
        <v>85</v>
      </c>
      <c r="B928" s="7">
        <v>44621</v>
      </c>
      <c r="C928" s="3" t="s">
        <v>36</v>
      </c>
      <c r="D928" s="8">
        <v>3</v>
      </c>
      <c r="E928" s="8">
        <v>135.68222490554734</v>
      </c>
      <c r="F928" s="9">
        <v>913343.78299618303</v>
      </c>
      <c r="G928" s="10">
        <v>-1</v>
      </c>
      <c r="H928" s="9">
        <v>1180000</v>
      </c>
      <c r="I928" s="10">
        <v>0</v>
      </c>
      <c r="J928" s="9">
        <v>0</v>
      </c>
      <c r="K928" s="9">
        <v>0</v>
      </c>
      <c r="L928" s="10">
        <v>0</v>
      </c>
      <c r="M928" s="10">
        <v>0</v>
      </c>
      <c r="N928" s="9">
        <v>0</v>
      </c>
      <c r="O928" s="9">
        <f t="shared" si="6"/>
        <v>0</v>
      </c>
      <c r="P928" s="9">
        <f t="shared" si="7"/>
        <v>0</v>
      </c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spans="1:42" ht="13.2" x14ac:dyDescent="0.25">
      <c r="A929" s="3" t="s">
        <v>528</v>
      </c>
      <c r="B929" s="7">
        <v>44621</v>
      </c>
      <c r="C929" s="3" t="s">
        <v>36</v>
      </c>
      <c r="D929" s="8">
        <v>98.069013237648647</v>
      </c>
      <c r="E929" s="8">
        <v>88.726632956914571</v>
      </c>
      <c r="F929" s="9">
        <v>271999.10395664058</v>
      </c>
      <c r="G929" s="10">
        <v>0</v>
      </c>
      <c r="H929" s="9">
        <v>360000</v>
      </c>
      <c r="I929" s="10">
        <v>0</v>
      </c>
      <c r="J929" s="9">
        <v>0</v>
      </c>
      <c r="K929" s="9">
        <v>0</v>
      </c>
      <c r="L929" s="10">
        <v>0</v>
      </c>
      <c r="M929" s="10">
        <v>0</v>
      </c>
      <c r="N929" s="9">
        <v>0</v>
      </c>
      <c r="O929" s="9">
        <f t="shared" si="6"/>
        <v>0</v>
      </c>
      <c r="P929" s="9">
        <f t="shared" si="7"/>
        <v>0</v>
      </c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spans="1:42" ht="13.2" x14ac:dyDescent="0.25">
      <c r="A930" s="3" t="s">
        <v>529</v>
      </c>
      <c r="B930" s="7">
        <v>44621</v>
      </c>
      <c r="C930" s="3" t="s">
        <v>36</v>
      </c>
      <c r="D930" s="8">
        <v>3</v>
      </c>
      <c r="E930" s="8">
        <v>154.63519769864075</v>
      </c>
      <c r="F930" s="9">
        <v>39803.343127616499</v>
      </c>
      <c r="G930" s="10">
        <v>0</v>
      </c>
      <c r="H930" s="9">
        <v>60000</v>
      </c>
      <c r="I930" s="10">
        <v>0</v>
      </c>
      <c r="J930" s="9">
        <v>0</v>
      </c>
      <c r="K930" s="9">
        <v>0</v>
      </c>
      <c r="L930" s="10">
        <v>0</v>
      </c>
      <c r="M930" s="10">
        <v>0</v>
      </c>
      <c r="N930" s="9">
        <v>0</v>
      </c>
      <c r="O930" s="9">
        <f t="shared" si="6"/>
        <v>0</v>
      </c>
      <c r="P930" s="9">
        <f t="shared" si="7"/>
        <v>0</v>
      </c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spans="1:42" ht="13.2" x14ac:dyDescent="0.25">
      <c r="A931" s="3" t="s">
        <v>462</v>
      </c>
      <c r="B931" s="7">
        <v>44621</v>
      </c>
      <c r="C931" s="3" t="s">
        <v>63</v>
      </c>
      <c r="D931" s="8">
        <v>12.295534622490838</v>
      </c>
      <c r="E931" s="8">
        <v>220.74641177552044</v>
      </c>
      <c r="F931" s="9">
        <v>552101.99860938394</v>
      </c>
      <c r="G931" s="10">
        <v>0</v>
      </c>
      <c r="H931" s="9">
        <v>760000</v>
      </c>
      <c r="I931" s="10">
        <v>0</v>
      </c>
      <c r="J931" s="9">
        <v>0</v>
      </c>
      <c r="K931" s="9">
        <v>0</v>
      </c>
      <c r="L931" s="10">
        <v>0</v>
      </c>
      <c r="M931" s="10">
        <v>0</v>
      </c>
      <c r="N931" s="9">
        <v>0</v>
      </c>
      <c r="O931" s="9">
        <f t="shared" si="6"/>
        <v>0</v>
      </c>
      <c r="P931" s="9">
        <f t="shared" si="7"/>
        <v>0</v>
      </c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spans="1:42" ht="13.2" x14ac:dyDescent="0.25">
      <c r="A932" s="3" t="s">
        <v>180</v>
      </c>
      <c r="B932" s="7">
        <v>44621</v>
      </c>
      <c r="C932" s="3" t="s">
        <v>36</v>
      </c>
      <c r="D932" s="8">
        <v>4.0689936760351983</v>
      </c>
      <c r="E932" s="8">
        <v>364.2261933068566</v>
      </c>
      <c r="F932" s="9">
        <v>305226.89722670853</v>
      </c>
      <c r="G932" s="10">
        <v>0</v>
      </c>
      <c r="H932" s="9">
        <v>294000</v>
      </c>
      <c r="I932" s="10">
        <v>1</v>
      </c>
      <c r="J932" s="9">
        <v>294000</v>
      </c>
      <c r="K932" s="9">
        <v>82817.498614971511</v>
      </c>
      <c r="L932" s="10">
        <v>15</v>
      </c>
      <c r="M932" s="10">
        <v>0</v>
      </c>
      <c r="N932" s="9">
        <v>0</v>
      </c>
      <c r="O932" s="9">
        <f t="shared" si="6"/>
        <v>7350</v>
      </c>
      <c r="P932" s="9">
        <f t="shared" si="7"/>
        <v>5880</v>
      </c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spans="1:42" ht="13.2" x14ac:dyDescent="0.25">
      <c r="A933" s="3" t="s">
        <v>468</v>
      </c>
      <c r="B933" s="7">
        <v>44621</v>
      </c>
      <c r="C933" s="3" t="s">
        <v>36</v>
      </c>
      <c r="D933" s="8">
        <v>3</v>
      </c>
      <c r="E933" s="8">
        <v>362.84133815197856</v>
      </c>
      <c r="F933" s="9">
        <v>227541.35423524832</v>
      </c>
      <c r="G933" s="10">
        <v>0</v>
      </c>
      <c r="H933" s="9">
        <v>210000</v>
      </c>
      <c r="I933" s="10">
        <v>1</v>
      </c>
      <c r="J933" s="9">
        <v>210000</v>
      </c>
      <c r="K933" s="9">
        <v>17509.117609136025</v>
      </c>
      <c r="L933" s="10">
        <v>6</v>
      </c>
      <c r="M933" s="10">
        <v>0</v>
      </c>
      <c r="N933" s="9">
        <v>0</v>
      </c>
      <c r="O933" s="9">
        <f t="shared" si="6"/>
        <v>5250</v>
      </c>
      <c r="P933" s="9">
        <f t="shared" si="7"/>
        <v>4200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spans="1:42" ht="13.2" x14ac:dyDescent="0.25">
      <c r="A934" s="3" t="s">
        <v>530</v>
      </c>
      <c r="B934" s="7">
        <v>44621</v>
      </c>
      <c r="C934" s="3" t="s">
        <v>36</v>
      </c>
      <c r="D934" s="8">
        <v>22.365123555757663</v>
      </c>
      <c r="E934" s="8">
        <v>68.294403948050444</v>
      </c>
      <c r="F934" s="9">
        <v>7229.7245215009652</v>
      </c>
      <c r="G934" s="10">
        <v>-1</v>
      </c>
      <c r="H934" s="9">
        <v>10000</v>
      </c>
      <c r="I934" s="10">
        <v>0</v>
      </c>
      <c r="J934" s="9">
        <v>0</v>
      </c>
      <c r="K934" s="9">
        <v>0</v>
      </c>
      <c r="L934" s="10">
        <v>0</v>
      </c>
      <c r="M934" s="10">
        <v>0</v>
      </c>
      <c r="N934" s="9">
        <v>0</v>
      </c>
      <c r="O934" s="9">
        <f t="shared" si="6"/>
        <v>0</v>
      </c>
      <c r="P934" s="9">
        <f t="shared" si="7"/>
        <v>0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spans="1:42" ht="13.2" x14ac:dyDescent="0.25">
      <c r="A935" s="3" t="s">
        <v>531</v>
      </c>
      <c r="B935" s="7">
        <v>44621</v>
      </c>
      <c r="C935" s="3" t="s">
        <v>36</v>
      </c>
      <c r="D935" s="8">
        <v>8.4160452140943427</v>
      </c>
      <c r="E935" s="8">
        <v>60</v>
      </c>
      <c r="F935" s="9">
        <v>174238.6741578154</v>
      </c>
      <c r="G935" s="10">
        <v>0</v>
      </c>
      <c r="H935" s="9">
        <v>280000</v>
      </c>
      <c r="I935" s="10">
        <v>1</v>
      </c>
      <c r="J935" s="9">
        <v>280000</v>
      </c>
      <c r="K935" s="9">
        <v>20069.24596509993</v>
      </c>
      <c r="L935" s="10">
        <v>5</v>
      </c>
      <c r="M935" s="10">
        <v>1</v>
      </c>
      <c r="N935" s="9">
        <v>109554</v>
      </c>
      <c r="O935" s="9">
        <f t="shared" si="6"/>
        <v>7000</v>
      </c>
      <c r="P935" s="9">
        <f t="shared" si="7"/>
        <v>5600</v>
      </c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spans="1:42" ht="13.2" x14ac:dyDescent="0.25">
      <c r="A936" s="3" t="s">
        <v>532</v>
      </c>
      <c r="B936" s="7">
        <v>44621</v>
      </c>
      <c r="C936" s="3" t="s">
        <v>36</v>
      </c>
      <c r="D936" s="8">
        <v>26.121122245675402</v>
      </c>
      <c r="E936" s="8">
        <v>198.64223570474064</v>
      </c>
      <c r="F936" s="9">
        <v>68791.446699896638</v>
      </c>
      <c r="G936" s="10">
        <v>1</v>
      </c>
      <c r="H936" s="9">
        <v>90000</v>
      </c>
      <c r="I936" s="10">
        <v>1</v>
      </c>
      <c r="J936" s="9">
        <v>90000</v>
      </c>
      <c r="K936" s="9">
        <v>6922.9681068153959</v>
      </c>
      <c r="L936" s="10">
        <v>5</v>
      </c>
      <c r="M936" s="10">
        <v>0</v>
      </c>
      <c r="N936" s="9">
        <v>0</v>
      </c>
      <c r="O936" s="9">
        <f t="shared" si="6"/>
        <v>2250</v>
      </c>
      <c r="P936" s="9">
        <f t="shared" si="7"/>
        <v>1800</v>
      </c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spans="1:42" ht="13.2" x14ac:dyDescent="0.25">
      <c r="A937" s="3" t="s">
        <v>533</v>
      </c>
      <c r="B937" s="7">
        <v>44621</v>
      </c>
      <c r="C937" s="3" t="s">
        <v>36</v>
      </c>
      <c r="D937" s="8">
        <v>6.8002394900765974</v>
      </c>
      <c r="E937" s="8">
        <v>60</v>
      </c>
      <c r="F937" s="9">
        <v>122267.02732864358</v>
      </c>
      <c r="G937" s="10">
        <v>-1</v>
      </c>
      <c r="H937" s="9">
        <v>190000</v>
      </c>
      <c r="I937" s="10">
        <v>1</v>
      </c>
      <c r="J937" s="9">
        <v>190000</v>
      </c>
      <c r="K937" s="9">
        <v>12230.047900496564</v>
      </c>
      <c r="L937" s="10">
        <v>5</v>
      </c>
      <c r="M937" s="10">
        <v>1</v>
      </c>
      <c r="N937" s="9">
        <v>180000</v>
      </c>
      <c r="O937" s="9">
        <f t="shared" si="6"/>
        <v>4750</v>
      </c>
      <c r="P937" s="9">
        <f t="shared" si="7"/>
        <v>3800</v>
      </c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spans="1:42" ht="13.2" x14ac:dyDescent="0.25">
      <c r="A938" s="3" t="s">
        <v>534</v>
      </c>
      <c r="B938" s="7">
        <v>44621</v>
      </c>
      <c r="C938" s="3" t="s">
        <v>36</v>
      </c>
      <c r="D938" s="8">
        <v>42.690805755952191</v>
      </c>
      <c r="E938" s="8">
        <v>91.42792241807382</v>
      </c>
      <c r="F938" s="9">
        <v>44656.355525939332</v>
      </c>
      <c r="G938" s="10">
        <v>0</v>
      </c>
      <c r="H938" s="9">
        <v>80000</v>
      </c>
      <c r="I938" s="10">
        <v>0</v>
      </c>
      <c r="J938" s="9">
        <v>0</v>
      </c>
      <c r="K938" s="9">
        <v>0</v>
      </c>
      <c r="L938" s="10">
        <v>0</v>
      </c>
      <c r="M938" s="10">
        <v>0</v>
      </c>
      <c r="N938" s="9">
        <v>0</v>
      </c>
      <c r="O938" s="9">
        <f t="shared" si="6"/>
        <v>0</v>
      </c>
      <c r="P938" s="9">
        <f t="shared" si="7"/>
        <v>0</v>
      </c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spans="1:42" ht="13.2" x14ac:dyDescent="0.25">
      <c r="A939" s="3" t="s">
        <v>535</v>
      </c>
      <c r="B939" s="7">
        <v>44652</v>
      </c>
      <c r="C939" s="3" t="s">
        <v>36</v>
      </c>
      <c r="D939" s="8">
        <v>54.905604244699717</v>
      </c>
      <c r="E939" s="8">
        <v>271.26028182402018</v>
      </c>
      <c r="F939" s="9">
        <v>74884.147260538215</v>
      </c>
      <c r="G939" s="10">
        <v>-1</v>
      </c>
      <c r="H939" s="9">
        <v>50000</v>
      </c>
      <c r="I939" s="10">
        <v>1</v>
      </c>
      <c r="J939" s="9">
        <v>50000</v>
      </c>
      <c r="K939" s="9">
        <v>2977.0908289103127</v>
      </c>
      <c r="L939" s="10">
        <v>6</v>
      </c>
      <c r="M939" s="10">
        <v>0</v>
      </c>
      <c r="N939" s="9">
        <v>0</v>
      </c>
      <c r="O939" s="9">
        <f t="shared" si="6"/>
        <v>1250</v>
      </c>
      <c r="P939" s="9">
        <f t="shared" si="7"/>
        <v>1000</v>
      </c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spans="1:42" ht="13.2" x14ac:dyDescent="0.25">
      <c r="A940" s="3" t="s">
        <v>370</v>
      </c>
      <c r="B940" s="7">
        <v>44652</v>
      </c>
      <c r="C940" s="3" t="s">
        <v>36</v>
      </c>
      <c r="D940" s="8">
        <v>6.0250240186124238</v>
      </c>
      <c r="E940" s="8">
        <v>161.51203759461387</v>
      </c>
      <c r="F940" s="9">
        <v>38652.001390020094</v>
      </c>
      <c r="G940" s="10">
        <v>-1</v>
      </c>
      <c r="H940" s="9">
        <v>60000</v>
      </c>
      <c r="I940" s="10">
        <v>0</v>
      </c>
      <c r="J940" s="9">
        <v>0</v>
      </c>
      <c r="K940" s="9">
        <v>0</v>
      </c>
      <c r="L940" s="10">
        <v>0</v>
      </c>
      <c r="M940" s="10">
        <v>0</v>
      </c>
      <c r="N940" s="9">
        <v>0</v>
      </c>
      <c r="O940" s="9">
        <f t="shared" si="6"/>
        <v>0</v>
      </c>
      <c r="P940" s="9">
        <f t="shared" si="7"/>
        <v>0</v>
      </c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spans="1:42" ht="13.2" x14ac:dyDescent="0.25">
      <c r="A941" s="3" t="s">
        <v>469</v>
      </c>
      <c r="B941" s="7">
        <v>44652</v>
      </c>
      <c r="C941" s="3" t="s">
        <v>36</v>
      </c>
      <c r="D941" s="8">
        <v>3</v>
      </c>
      <c r="E941" s="8">
        <v>60</v>
      </c>
      <c r="F941" s="9">
        <v>81781.679955547472</v>
      </c>
      <c r="G941" s="10">
        <v>-1</v>
      </c>
      <c r="H941" s="9">
        <v>130000</v>
      </c>
      <c r="I941" s="10">
        <v>0</v>
      </c>
      <c r="J941" s="9">
        <v>0</v>
      </c>
      <c r="K941" s="9">
        <v>0</v>
      </c>
      <c r="L941" s="10">
        <v>0</v>
      </c>
      <c r="M941" s="10">
        <v>0</v>
      </c>
      <c r="N941" s="9">
        <v>0</v>
      </c>
      <c r="O941" s="9">
        <f t="shared" si="6"/>
        <v>0</v>
      </c>
      <c r="P941" s="9">
        <f t="shared" si="7"/>
        <v>0</v>
      </c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spans="1:42" ht="13.2" x14ac:dyDescent="0.25">
      <c r="A942" s="3" t="s">
        <v>536</v>
      </c>
      <c r="B942" s="7">
        <v>44652</v>
      </c>
      <c r="C942" s="3" t="s">
        <v>36</v>
      </c>
      <c r="D942" s="8">
        <v>3</v>
      </c>
      <c r="E942" s="8">
        <v>60</v>
      </c>
      <c r="F942" s="9">
        <v>4534.0795231190505</v>
      </c>
      <c r="G942" s="10">
        <v>-1</v>
      </c>
      <c r="H942" s="9">
        <v>10000</v>
      </c>
      <c r="I942" s="10">
        <v>0</v>
      </c>
      <c r="J942" s="9">
        <v>0</v>
      </c>
      <c r="K942" s="9">
        <v>0</v>
      </c>
      <c r="L942" s="10">
        <v>0</v>
      </c>
      <c r="M942" s="10">
        <v>0</v>
      </c>
      <c r="N942" s="9">
        <v>0</v>
      </c>
      <c r="O942" s="9">
        <f t="shared" si="6"/>
        <v>0</v>
      </c>
      <c r="P942" s="9">
        <f t="shared" si="7"/>
        <v>0</v>
      </c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spans="1:42" ht="13.2" x14ac:dyDescent="0.25">
      <c r="A943" s="3" t="s">
        <v>537</v>
      </c>
      <c r="B943" s="7">
        <v>44652</v>
      </c>
      <c r="C943" s="3" t="s">
        <v>36</v>
      </c>
      <c r="D943" s="8">
        <v>66.787646263115818</v>
      </c>
      <c r="E943" s="8">
        <v>327.01237616783203</v>
      </c>
      <c r="F943" s="9">
        <v>230660.18133509575</v>
      </c>
      <c r="G943" s="10">
        <v>1</v>
      </c>
      <c r="H943" s="9">
        <v>160000</v>
      </c>
      <c r="I943" s="10">
        <v>0</v>
      </c>
      <c r="J943" s="9">
        <v>0</v>
      </c>
      <c r="K943" s="9">
        <v>0</v>
      </c>
      <c r="L943" s="10">
        <v>0</v>
      </c>
      <c r="M943" s="10">
        <v>0</v>
      </c>
      <c r="N943" s="9">
        <v>0</v>
      </c>
      <c r="O943" s="9">
        <f t="shared" si="6"/>
        <v>0</v>
      </c>
      <c r="P943" s="9">
        <f t="shared" si="7"/>
        <v>0</v>
      </c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spans="1:42" ht="13.2" x14ac:dyDescent="0.25">
      <c r="A944" s="3" t="s">
        <v>538</v>
      </c>
      <c r="B944" s="7">
        <v>44652</v>
      </c>
      <c r="C944" s="3" t="s">
        <v>36</v>
      </c>
      <c r="D944" s="8">
        <v>40.792317445689008</v>
      </c>
      <c r="E944" s="8">
        <v>217.01070695294644</v>
      </c>
      <c r="F944" s="9">
        <v>14435.73053442186</v>
      </c>
      <c r="G944" s="10">
        <v>-1</v>
      </c>
      <c r="H944" s="9">
        <v>10000</v>
      </c>
      <c r="I944" s="10">
        <v>0</v>
      </c>
      <c r="J944" s="9">
        <v>0</v>
      </c>
      <c r="K944" s="9">
        <v>0</v>
      </c>
      <c r="L944" s="10">
        <v>0</v>
      </c>
      <c r="M944" s="10">
        <v>0</v>
      </c>
      <c r="N944" s="9">
        <v>0</v>
      </c>
      <c r="O944" s="9">
        <f t="shared" si="6"/>
        <v>0</v>
      </c>
      <c r="P944" s="9">
        <f t="shared" si="7"/>
        <v>0</v>
      </c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spans="1:42" ht="13.2" x14ac:dyDescent="0.25">
      <c r="A945" s="3" t="s">
        <v>539</v>
      </c>
      <c r="B945" s="7">
        <v>44652</v>
      </c>
      <c r="C945" s="3" t="s">
        <v>36</v>
      </c>
      <c r="D945" s="8">
        <v>180.27857814226553</v>
      </c>
      <c r="E945" s="8">
        <v>111.61005364162833</v>
      </c>
      <c r="F945" s="9">
        <v>518311.670205487</v>
      </c>
      <c r="G945" s="10">
        <v>0</v>
      </c>
      <c r="H945" s="9">
        <v>720000</v>
      </c>
      <c r="I945" s="10">
        <v>1</v>
      </c>
      <c r="J945" s="9">
        <v>720000</v>
      </c>
      <c r="K945" s="9">
        <v>83667.523756703056</v>
      </c>
      <c r="L945" s="10">
        <v>6</v>
      </c>
      <c r="M945" s="10">
        <v>0</v>
      </c>
      <c r="N945" s="9">
        <v>0</v>
      </c>
      <c r="O945" s="9">
        <f t="shared" si="6"/>
        <v>18000</v>
      </c>
      <c r="P945" s="9">
        <f t="shared" si="7"/>
        <v>14400</v>
      </c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spans="1:42" ht="13.2" x14ac:dyDescent="0.25">
      <c r="A946" s="3" t="s">
        <v>540</v>
      </c>
      <c r="B946" s="7">
        <v>44652</v>
      </c>
      <c r="C946" s="3" t="s">
        <v>36</v>
      </c>
      <c r="D946" s="8">
        <v>21.948429030738005</v>
      </c>
      <c r="E946" s="8">
        <v>232.48054347655608</v>
      </c>
      <c r="F946" s="9">
        <v>324786.25552054681</v>
      </c>
      <c r="G946" s="10">
        <v>0</v>
      </c>
      <c r="H946" s="9">
        <v>278000</v>
      </c>
      <c r="I946" s="10">
        <v>1</v>
      </c>
      <c r="J946" s="9">
        <v>278000</v>
      </c>
      <c r="K946" s="9">
        <v>42423.312332695408</v>
      </c>
      <c r="L946" s="10">
        <v>12</v>
      </c>
      <c r="M946" s="10">
        <v>0</v>
      </c>
      <c r="N946" s="9">
        <v>0</v>
      </c>
      <c r="O946" s="9">
        <f t="shared" si="6"/>
        <v>6950</v>
      </c>
      <c r="P946" s="9">
        <f t="shared" si="7"/>
        <v>5560</v>
      </c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spans="1:42" ht="13.2" x14ac:dyDescent="0.25">
      <c r="A947" s="3" t="s">
        <v>292</v>
      </c>
      <c r="B947" s="7">
        <v>44652</v>
      </c>
      <c r="C947" s="3" t="s">
        <v>36</v>
      </c>
      <c r="D947" s="8">
        <v>84.749285014054834</v>
      </c>
      <c r="E947" s="8">
        <v>60</v>
      </c>
      <c r="F947" s="9">
        <v>254285.54817242839</v>
      </c>
      <c r="G947" s="10">
        <v>-1</v>
      </c>
      <c r="H947" s="9">
        <v>330000</v>
      </c>
      <c r="I947" s="10">
        <v>1</v>
      </c>
      <c r="J947" s="9">
        <v>330000</v>
      </c>
      <c r="K947" s="9">
        <v>20195.459923309056</v>
      </c>
      <c r="L947" s="10">
        <v>5</v>
      </c>
      <c r="M947" s="10">
        <v>0</v>
      </c>
      <c r="N947" s="9">
        <v>0</v>
      </c>
      <c r="O947" s="9">
        <f t="shared" si="6"/>
        <v>8250</v>
      </c>
      <c r="P947" s="9">
        <f t="shared" si="7"/>
        <v>6600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spans="1:42" ht="13.2" x14ac:dyDescent="0.25">
      <c r="A948" s="3" t="s">
        <v>517</v>
      </c>
      <c r="B948" s="7">
        <v>44652</v>
      </c>
      <c r="C948" s="3" t="s">
        <v>63</v>
      </c>
      <c r="D948" s="8">
        <v>82.313662882841172</v>
      </c>
      <c r="E948" s="8">
        <v>215.39259184943381</v>
      </c>
      <c r="F948" s="9">
        <v>108750.66068986632</v>
      </c>
      <c r="G948" s="10">
        <v>-1</v>
      </c>
      <c r="H948" s="9">
        <v>100000</v>
      </c>
      <c r="I948" s="10">
        <v>1</v>
      </c>
      <c r="J948" s="9">
        <v>100000</v>
      </c>
      <c r="K948" s="9">
        <v>16288.791437997183</v>
      </c>
      <c r="L948" s="10">
        <v>12</v>
      </c>
      <c r="M948" s="10">
        <v>0</v>
      </c>
      <c r="N948" s="9">
        <v>0</v>
      </c>
      <c r="O948" s="9">
        <f t="shared" si="6"/>
        <v>2500</v>
      </c>
      <c r="P948" s="9">
        <f t="shared" si="7"/>
        <v>2000</v>
      </c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spans="1:42" ht="13.2" x14ac:dyDescent="0.25">
      <c r="A949" s="3" t="s">
        <v>255</v>
      </c>
      <c r="B949" s="7">
        <v>44652</v>
      </c>
      <c r="C949" s="3" t="s">
        <v>39</v>
      </c>
      <c r="D949" s="8">
        <v>282.28043568674349</v>
      </c>
      <c r="E949" s="8">
        <v>303.24271868896307</v>
      </c>
      <c r="F949" s="9">
        <v>406983.79283681803</v>
      </c>
      <c r="G949" s="10">
        <v>-1</v>
      </c>
      <c r="H949" s="9">
        <v>262000</v>
      </c>
      <c r="I949" s="10">
        <v>1</v>
      </c>
      <c r="J949" s="9">
        <v>262000</v>
      </c>
      <c r="K949" s="9">
        <v>8912.6338258055475</v>
      </c>
      <c r="L949" s="10">
        <v>6</v>
      </c>
      <c r="M949" s="10">
        <v>0</v>
      </c>
      <c r="N949" s="9">
        <v>0</v>
      </c>
      <c r="O949" s="9">
        <f t="shared" si="6"/>
        <v>6550</v>
      </c>
      <c r="P949" s="9">
        <f t="shared" si="7"/>
        <v>5240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spans="1:42" ht="13.2" x14ac:dyDescent="0.25">
      <c r="A950" s="3" t="s">
        <v>541</v>
      </c>
      <c r="B950" s="7">
        <v>44652</v>
      </c>
      <c r="C950" s="3" t="s">
        <v>63</v>
      </c>
      <c r="D950" s="8">
        <v>92.473216970758571</v>
      </c>
      <c r="E950" s="8">
        <v>233.52406795160556</v>
      </c>
      <c r="F950" s="9">
        <v>214389.46536423004</v>
      </c>
      <c r="G950" s="10">
        <v>1</v>
      </c>
      <c r="H950" s="9">
        <v>170000</v>
      </c>
      <c r="I950" s="10">
        <v>1</v>
      </c>
      <c r="J950" s="9">
        <v>170000</v>
      </c>
      <c r="K950" s="9">
        <v>19286.570617880676</v>
      </c>
      <c r="L950" s="10">
        <v>8</v>
      </c>
      <c r="M950" s="10">
        <v>0</v>
      </c>
      <c r="N950" s="9">
        <v>0</v>
      </c>
      <c r="O950" s="9">
        <f t="shared" si="6"/>
        <v>4250</v>
      </c>
      <c r="P950" s="9">
        <f t="shared" si="7"/>
        <v>3400</v>
      </c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spans="1:42" ht="13.2" x14ac:dyDescent="0.25">
      <c r="A951" s="3" t="s">
        <v>542</v>
      </c>
      <c r="B951" s="7">
        <v>44652</v>
      </c>
      <c r="C951" s="3" t="s">
        <v>36</v>
      </c>
      <c r="D951" s="8">
        <v>113.38177485379404</v>
      </c>
      <c r="E951" s="8">
        <v>60</v>
      </c>
      <c r="F951" s="9">
        <v>91786.501515876429</v>
      </c>
      <c r="G951" s="10">
        <v>0</v>
      </c>
      <c r="H951" s="9">
        <v>80000</v>
      </c>
      <c r="I951" s="10">
        <v>1</v>
      </c>
      <c r="J951" s="9">
        <v>80000</v>
      </c>
      <c r="K951" s="9">
        <v>2982.7875087229727</v>
      </c>
      <c r="L951" s="10">
        <v>3</v>
      </c>
      <c r="M951" s="10">
        <v>0</v>
      </c>
      <c r="N951" s="9">
        <v>0</v>
      </c>
      <c r="O951" s="9">
        <f t="shared" si="6"/>
        <v>2000</v>
      </c>
      <c r="P951" s="9">
        <f t="shared" si="7"/>
        <v>1600</v>
      </c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spans="1:42" ht="13.2" x14ac:dyDescent="0.25">
      <c r="A952" s="3" t="s">
        <v>543</v>
      </c>
      <c r="B952" s="7">
        <v>44652</v>
      </c>
      <c r="C952" s="3" t="s">
        <v>36</v>
      </c>
      <c r="D952" s="8">
        <v>36.307320349268096</v>
      </c>
      <c r="E952" s="8">
        <v>256.69895508050496</v>
      </c>
      <c r="F952" s="9">
        <v>125629.48417900536</v>
      </c>
      <c r="G952" s="10">
        <v>-1</v>
      </c>
      <c r="H952" s="9">
        <v>90000</v>
      </c>
      <c r="I952" s="10">
        <v>1</v>
      </c>
      <c r="J952" s="9">
        <v>90000</v>
      </c>
      <c r="K952" s="9">
        <v>2359.9906988328039</v>
      </c>
      <c r="L952" s="10">
        <v>4</v>
      </c>
      <c r="M952" s="10">
        <v>0</v>
      </c>
      <c r="N952" s="9">
        <v>0</v>
      </c>
      <c r="O952" s="9">
        <f t="shared" si="6"/>
        <v>2250</v>
      </c>
      <c r="P952" s="9">
        <f t="shared" si="7"/>
        <v>1800</v>
      </c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spans="1:42" ht="13.2" x14ac:dyDescent="0.25">
      <c r="A953" s="3" t="s">
        <v>544</v>
      </c>
      <c r="B953" s="7">
        <v>44652</v>
      </c>
      <c r="C953" s="3" t="s">
        <v>36</v>
      </c>
      <c r="D953" s="8">
        <v>10.187775274827827</v>
      </c>
      <c r="E953" s="8">
        <v>286.52633787440453</v>
      </c>
      <c r="F953" s="9">
        <v>151064.49616947456</v>
      </c>
      <c r="G953" s="10">
        <v>0</v>
      </c>
      <c r="H953" s="9">
        <v>220000</v>
      </c>
      <c r="I953" s="10">
        <v>1</v>
      </c>
      <c r="J953" s="9">
        <v>220000</v>
      </c>
      <c r="K953" s="9">
        <v>20703.03955707511</v>
      </c>
      <c r="L953" s="10">
        <v>6</v>
      </c>
      <c r="M953" s="10">
        <v>0</v>
      </c>
      <c r="N953" s="9">
        <v>0</v>
      </c>
      <c r="O953" s="9">
        <f t="shared" si="6"/>
        <v>5500</v>
      </c>
      <c r="P953" s="9">
        <f t="shared" si="7"/>
        <v>4400</v>
      </c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spans="1:42" ht="13.2" x14ac:dyDescent="0.25">
      <c r="A954" s="3" t="s">
        <v>545</v>
      </c>
      <c r="B954" s="7">
        <v>44652</v>
      </c>
      <c r="C954" s="3" t="s">
        <v>63</v>
      </c>
      <c r="D954" s="8">
        <v>52.052095485249509</v>
      </c>
      <c r="E954" s="8">
        <v>60</v>
      </c>
      <c r="F954" s="9">
        <v>154407.32078406785</v>
      </c>
      <c r="G954" s="10">
        <v>-1</v>
      </c>
      <c r="H954" s="9">
        <v>200000</v>
      </c>
      <c r="I954" s="10">
        <v>1</v>
      </c>
      <c r="J954" s="9">
        <v>200000</v>
      </c>
      <c r="K954" s="9">
        <v>20912.797954880596</v>
      </c>
      <c r="L954" s="10">
        <v>6</v>
      </c>
      <c r="M954" s="10">
        <v>0</v>
      </c>
      <c r="N954" s="9">
        <v>0</v>
      </c>
      <c r="O954" s="9">
        <f t="shared" si="6"/>
        <v>5000</v>
      </c>
      <c r="P954" s="9">
        <f t="shared" si="7"/>
        <v>4000</v>
      </c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spans="1:42" ht="13.2" x14ac:dyDescent="0.25">
      <c r="A955" s="3" t="s">
        <v>102</v>
      </c>
      <c r="B955" s="7">
        <v>44652</v>
      </c>
      <c r="C955" s="3" t="s">
        <v>36</v>
      </c>
      <c r="D955" s="8">
        <v>27.679827225016858</v>
      </c>
      <c r="E955" s="8">
        <v>60</v>
      </c>
      <c r="F955" s="9">
        <v>33936.319226478292</v>
      </c>
      <c r="G955" s="10">
        <v>-1</v>
      </c>
      <c r="H955" s="9">
        <v>60000</v>
      </c>
      <c r="I955" s="10">
        <v>0</v>
      </c>
      <c r="J955" s="9">
        <v>0</v>
      </c>
      <c r="K955" s="9">
        <v>0</v>
      </c>
      <c r="L955" s="10">
        <v>0</v>
      </c>
      <c r="M955" s="10">
        <v>0</v>
      </c>
      <c r="N955" s="9">
        <v>0</v>
      </c>
      <c r="O955" s="9">
        <f t="shared" si="6"/>
        <v>0</v>
      </c>
      <c r="P955" s="9">
        <f t="shared" si="7"/>
        <v>0</v>
      </c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spans="1:42" ht="13.2" x14ac:dyDescent="0.25">
      <c r="A956" s="3" t="s">
        <v>203</v>
      </c>
      <c r="B956" s="7">
        <v>44652</v>
      </c>
      <c r="C956" s="3" t="s">
        <v>36</v>
      </c>
      <c r="D956" s="8">
        <v>42.648439748968514</v>
      </c>
      <c r="E956" s="8">
        <v>60</v>
      </c>
      <c r="F956" s="9">
        <v>53268.129614730395</v>
      </c>
      <c r="G956" s="10">
        <v>-1</v>
      </c>
      <c r="H956" s="9">
        <v>100000</v>
      </c>
      <c r="I956" s="10">
        <v>0</v>
      </c>
      <c r="J956" s="9">
        <v>0</v>
      </c>
      <c r="K956" s="9">
        <v>0</v>
      </c>
      <c r="L956" s="10">
        <v>0</v>
      </c>
      <c r="M956" s="10">
        <v>0</v>
      </c>
      <c r="N956" s="9">
        <v>0</v>
      </c>
      <c r="O956" s="9">
        <f t="shared" si="6"/>
        <v>0</v>
      </c>
      <c r="P956" s="9">
        <f t="shared" si="7"/>
        <v>0</v>
      </c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spans="1:42" ht="13.2" x14ac:dyDescent="0.25">
      <c r="A957" s="3" t="s">
        <v>546</v>
      </c>
      <c r="B957" s="7">
        <v>44652</v>
      </c>
      <c r="C957" s="3" t="s">
        <v>36</v>
      </c>
      <c r="D957" s="8">
        <v>4.1632203611935488</v>
      </c>
      <c r="E957" s="8">
        <v>211.55862357910351</v>
      </c>
      <c r="F957" s="9">
        <v>54043.169785110229</v>
      </c>
      <c r="G957" s="10">
        <v>-1</v>
      </c>
      <c r="H957" s="9">
        <v>90000</v>
      </c>
      <c r="I957" s="10">
        <v>1</v>
      </c>
      <c r="J957" s="9">
        <v>90000</v>
      </c>
      <c r="K957" s="9">
        <v>5857.2324577950558</v>
      </c>
      <c r="L957" s="10">
        <v>6</v>
      </c>
      <c r="M957" s="10">
        <v>0</v>
      </c>
      <c r="N957" s="9">
        <v>0</v>
      </c>
      <c r="O957" s="9">
        <f t="shared" si="6"/>
        <v>2250</v>
      </c>
      <c r="P957" s="9">
        <f t="shared" si="7"/>
        <v>1800</v>
      </c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spans="1:42" ht="13.2" x14ac:dyDescent="0.25">
      <c r="A958" s="3" t="s">
        <v>547</v>
      </c>
      <c r="B958" s="7">
        <v>44652</v>
      </c>
      <c r="C958" s="3" t="s">
        <v>36</v>
      </c>
      <c r="D958" s="8">
        <v>118.66358669368525</v>
      </c>
      <c r="E958" s="8">
        <v>60</v>
      </c>
      <c r="F958" s="9">
        <v>163724.64267474622</v>
      </c>
      <c r="G958" s="10">
        <v>-1</v>
      </c>
      <c r="H958" s="9">
        <v>216000</v>
      </c>
      <c r="I958" s="10">
        <v>1</v>
      </c>
      <c r="J958" s="9">
        <v>216000</v>
      </c>
      <c r="K958" s="9">
        <v>28218.04317382169</v>
      </c>
      <c r="L958" s="10">
        <v>9</v>
      </c>
      <c r="M958" s="10">
        <v>0</v>
      </c>
      <c r="N958" s="9">
        <v>0</v>
      </c>
      <c r="O958" s="9">
        <f t="shared" si="6"/>
        <v>5400</v>
      </c>
      <c r="P958" s="9">
        <f t="shared" si="7"/>
        <v>4320</v>
      </c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spans="1:42" ht="13.2" x14ac:dyDescent="0.25">
      <c r="A959" s="3" t="s">
        <v>548</v>
      </c>
      <c r="B959" s="7">
        <v>44652</v>
      </c>
      <c r="C959" s="3" t="s">
        <v>36</v>
      </c>
      <c r="D959" s="8">
        <v>11.055628871235301</v>
      </c>
      <c r="E959" s="8">
        <v>252.18769299478899</v>
      </c>
      <c r="F959" s="9">
        <v>5993.1412233535011</v>
      </c>
      <c r="G959" s="10">
        <v>0</v>
      </c>
      <c r="H959" s="9">
        <v>10000</v>
      </c>
      <c r="I959" s="10">
        <v>1</v>
      </c>
      <c r="J959" s="9">
        <v>10000</v>
      </c>
      <c r="K959" s="9">
        <v>967.32461495488189</v>
      </c>
      <c r="L959" s="10">
        <v>6</v>
      </c>
      <c r="M959" s="10">
        <v>0</v>
      </c>
      <c r="N959" s="9">
        <v>0</v>
      </c>
      <c r="O959" s="9">
        <f t="shared" si="6"/>
        <v>250</v>
      </c>
      <c r="P959" s="9">
        <f t="shared" si="7"/>
        <v>200</v>
      </c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spans="1:42" ht="13.2" x14ac:dyDescent="0.25">
      <c r="A960" s="3" t="s">
        <v>491</v>
      </c>
      <c r="B960" s="7">
        <v>44652</v>
      </c>
      <c r="C960" s="3" t="s">
        <v>36</v>
      </c>
      <c r="D960" s="8">
        <v>74.120310617145392</v>
      </c>
      <c r="E960" s="8">
        <v>187.72030966128028</v>
      </c>
      <c r="F960" s="9">
        <v>42870.354468540994</v>
      </c>
      <c r="G960" s="3"/>
      <c r="H960" s="9">
        <v>30000</v>
      </c>
      <c r="I960" s="10">
        <v>0</v>
      </c>
      <c r="J960" s="9">
        <v>0</v>
      </c>
      <c r="K960" s="9">
        <v>0</v>
      </c>
      <c r="L960" s="10">
        <v>0</v>
      </c>
      <c r="M960" s="10">
        <v>0</v>
      </c>
      <c r="N960" s="9">
        <v>0</v>
      </c>
      <c r="O960" s="9">
        <f t="shared" si="6"/>
        <v>0</v>
      </c>
      <c r="P960" s="9">
        <f t="shared" si="7"/>
        <v>0</v>
      </c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2025-12-05T19:30:10Z</dcterms:modified>
</cp:coreProperties>
</file>